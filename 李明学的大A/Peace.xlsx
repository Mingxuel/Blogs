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 tabRatio="482" firstSheet="2" activeTab="2"/>
  </bookViews>
  <sheets>
    <sheet name="每日必读" sheetId="9" r:id="rId1"/>
    <sheet name="收益表" sheetId="3" r:id="rId2"/>
    <sheet name="二板补涨缩量战法" sheetId="11" r:id="rId3"/>
    <sheet name="二板补涨放量战法" sheetId="20" r:id="rId4"/>
    <sheet name="Sheet1" sheetId="2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<sst xmlns="http://schemas.openxmlformats.org/spreadsheetml/2006/main" count="869" uniqueCount="441">
  <si>
    <t>主题</t>
  </si>
  <si>
    <t>悟道</t>
  </si>
  <si>
    <t>系统</t>
  </si>
  <si>
    <t>好的系统一定是适合自己的心态, 对你最大限度的抵抗心态波动, 好的心态是系统第一原则</t>
  </si>
  <si>
    <t>不要想着一口吃胖, 一年中几次重仓必杀, 平时小机会积小成多, 就会让你的账户产生良性的复利, 这会使你的心态变的更加平稳</t>
  </si>
  <si>
    <t>好的系统会让你大盘涨时你涨, 大盘跌时你小跌或不跌, 赚钱会变的很自然, 这都会让你更加自信</t>
  </si>
  <si>
    <t>好的仓位控制会让你在回撤时也不让你难受, 这是一个很不错的心态控制方式(敢于低位空仓, 敢于高位满仓)</t>
  </si>
  <si>
    <t>止损 - 不存在的, 果断卖出不确定就是最好的止损, 止损要简单, 越简单越好, 盈利全交给概率. 克服心理障碍是稳定止损的先决条件, 不要因为被套几个点就犹豫不决.</t>
  </si>
  <si>
    <t>好的系统绝对会反应在你的账户上, 当你的账户出现良性曲线时一定要对自己进行总结</t>
  </si>
  <si>
    <t>情绪</t>
  </si>
  <si>
    <t>时刻思考场内和场外的想法, 而不是抱怨, 要做情绪的追踪者</t>
  </si>
  <si>
    <t>高手要借助市场的贪婪和恐慌反过来指导决策, 着眼点在整个市场</t>
  </si>
  <si>
    <t>连板的增多就会出现追龙头效应</t>
  </si>
  <si>
    <t>抄底反包的增多会出现追抄底效应</t>
  </si>
  <si>
    <t>追热点如果出现赚钱效应, 那么就会出现追热点狂潮</t>
  </si>
  <si>
    <t>主板</t>
  </si>
  <si>
    <t>主板 = 持续热度 + 持续赚钱效应</t>
  </si>
  <si>
    <t>主板龙头是大盘风向标, 一定要时刻盯住</t>
  </si>
  <si>
    <t>主板龙头到顶时, 板块热度尚在, 那么就会出现补涨龙</t>
  </si>
  <si>
    <t>追板要看市场环境, 热点, 成交量, 价格, 当然最重要的是场内和场外人的心理变化</t>
  </si>
  <si>
    <t>周期</t>
  </si>
  <si>
    <t>强势阶段 - 一定要选择最强(买龙头只是手段, 卖龙头才是高手)</t>
  </si>
  <si>
    <t>初期(低吸止损) - 选择做强势股的回调反抽, 或者新热点. 强股形态尚未完全破坏, 市场仍有期待会有新高, 因此可以做回调的反抽</t>
  </si>
  <si>
    <t>中期(低吸崩溃) - 选择做超跌股, 重点在时机, 一般是连续下跌一段后的再度猛跌时, 有部分买盘会推动超跌股进行一定的反弹, 也可以耐心等待不做任何动作</t>
  </si>
  <si>
    <t>末期(追涨强势) - 符合主流热点有爆发力的强势股</t>
  </si>
  <si>
    <t>阶段的判断本身就是一个动态的过程, 可能会有预判错误, 但是需要一定的策略来弥补过错</t>
  </si>
  <si>
    <t>选股</t>
  </si>
  <si>
    <t>买股前, 一定要问自己假如你是空仓, 你会买它吗, 也许这时答案就会在眼前</t>
  </si>
  <si>
    <t>买股一定要问自己能不能看到30%, 如果跌时敢不敢追. 选股一定要机会大于风险</t>
  </si>
  <si>
    <t>大盘不好, 个股没有热点那么就不要买, 要买就买确定性</t>
  </si>
  <si>
    <t>一个股的上涨一定要理解上涨原因, 若无法理解最好就不要碰</t>
  </si>
  <si>
    <t>尾盘买股需要对第二天的预期热点持续性有判断</t>
  </si>
  <si>
    <t>之后会有持续性的热点领导市场上涨, 选择符合主流热点又爆发力的强势股, 也许后市还有低点, 但是随着盘面的出现把筹码放到最有爆发力的个股上是很好的策略</t>
  </si>
  <si>
    <t>月份</t>
  </si>
  <si>
    <t>增量资金</t>
  </si>
  <si>
    <t>倍数1.1</t>
  </si>
  <si>
    <t>金额</t>
  </si>
  <si>
    <t>倍数1.15</t>
  </si>
  <si>
    <t>倍数1.2</t>
  </si>
  <si>
    <t>倍数1.25</t>
  </si>
  <si>
    <t>倍数1.3</t>
  </si>
  <si>
    <t>倍数1.35</t>
  </si>
  <si>
    <t>倍数1.4</t>
  </si>
  <si>
    <t>倍数1.45</t>
  </si>
  <si>
    <t>日期</t>
  </si>
  <si>
    <t>天数</t>
  </si>
  <si>
    <t>Ratio(3.0%)</t>
  </si>
  <si>
    <t>Ratio(2.0%)</t>
  </si>
  <si>
    <t>Ratio (1.5%)</t>
  </si>
  <si>
    <t>Ratio(1.0%)</t>
  </si>
  <si>
    <t>盘前金额</t>
  </si>
  <si>
    <t>盈利</t>
  </si>
  <si>
    <t>实际涨幅</t>
  </si>
  <si>
    <t>盘后金额</t>
  </si>
  <si>
    <t>目标涨幅(1.0%)</t>
  </si>
  <si>
    <t>涨停数</t>
  </si>
  <si>
    <t>跌停数</t>
  </si>
  <si>
    <t>二板补涨战法交谊原则</t>
  </si>
  <si>
    <t>交易日</t>
  </si>
  <si>
    <t>亏损</t>
  </si>
  <si>
    <t>涨幅</t>
  </si>
  <si>
    <t>万变不离其宗，一定要观察情绪波动，是最高点释放后的上涨，还是临近最高点</t>
  </si>
  <si>
    <t>D-DAY尾盘炸板</t>
  </si>
  <si>
    <t>不影响第二天的情绪</t>
  </si>
  <si>
    <t>涨跌比超过14%</t>
  </si>
  <si>
    <t>下一天是急剧危险的一天，不进</t>
  </si>
  <si>
    <t>涨跌比下降至1/3</t>
  </si>
  <si>
    <t>强势一天，可进</t>
  </si>
  <si>
    <t>DAY-1主线</t>
  </si>
  <si>
    <t>行情可以继续延申</t>
  </si>
  <si>
    <t>微快速换手板</t>
  </si>
  <si>
    <r>
      <rPr>
        <sz val="12"/>
        <color theme="0"/>
        <rFont val="文悦新青年体 (非商用) W8"/>
        <charset val="134"/>
      </rPr>
      <t>实在没有买入时可以</t>
    </r>
    <r>
      <rPr>
        <sz val="12"/>
        <color rgb="FFFFC000"/>
        <rFont val="文悦新青年体 (非商用) W8"/>
        <charset val="134"/>
      </rPr>
      <t>考虑</t>
    </r>
    <r>
      <rPr>
        <sz val="12"/>
        <color theme="0"/>
        <rFont val="文悦新青年体 (非商用) W8"/>
        <charset val="134"/>
      </rPr>
      <t>买入，但是需要当日出售</t>
    </r>
  </si>
  <si>
    <t>TOTAL</t>
  </si>
  <si>
    <t>名称</t>
  </si>
  <si>
    <t>TYPE</t>
  </si>
  <si>
    <t>D-DAY</t>
  </si>
  <si>
    <t>DAY-1</t>
  </si>
  <si>
    <t>DAY-2</t>
  </si>
  <si>
    <t>DAY-3</t>
  </si>
  <si>
    <t>DAY-4</t>
  </si>
  <si>
    <t>定额交易</t>
  </si>
  <si>
    <t>WIN</t>
  </si>
  <si>
    <t>模式内交易</t>
  </si>
  <si>
    <t>涨跌比</t>
  </si>
  <si>
    <t>异动原因</t>
  </si>
  <si>
    <t>国泰君安</t>
  </si>
  <si>
    <t>连扳一字</t>
  </si>
  <si>
    <t>宝塔实业</t>
  </si>
  <si>
    <t>低预期快速换手板</t>
  </si>
  <si>
    <t>跌停</t>
  </si>
  <si>
    <t xml:space="preserve">东易日盛 </t>
  </si>
  <si>
    <t>T字板</t>
  </si>
  <si>
    <t>涨停</t>
  </si>
  <si>
    <t>行情好时尾盘炸板不影响第二日继续改善</t>
  </si>
  <si>
    <t>亚邦股份</t>
  </si>
  <si>
    <t>岩石股份</t>
  </si>
  <si>
    <t>快速换手板</t>
  </si>
  <si>
    <t>深圳业A</t>
  </si>
  <si>
    <t>一字板</t>
  </si>
  <si>
    <t>7.24%(炸板)</t>
  </si>
  <si>
    <t>怡亚通</t>
  </si>
  <si>
    <t>炸板</t>
  </si>
  <si>
    <t>澳柯玛</t>
  </si>
  <si>
    <t>中科金财</t>
  </si>
  <si>
    <t>放量快速换手</t>
  </si>
  <si>
    <t>汇绿生态</t>
  </si>
  <si>
    <t>江南高纤</t>
  </si>
  <si>
    <t>精伦电子</t>
  </si>
  <si>
    <t>常山北明</t>
  </si>
  <si>
    <t>森特股份</t>
  </si>
  <si>
    <t>剑桥科技</t>
  </si>
  <si>
    <t>五矿资本</t>
  </si>
  <si>
    <t>新力金融</t>
  </si>
  <si>
    <t>中信海直</t>
  </si>
  <si>
    <t>放量T字</t>
  </si>
  <si>
    <t>7.92%(炸板)</t>
  </si>
  <si>
    <t>利君股份</t>
  </si>
  <si>
    <t>4.08%(炸板)</t>
  </si>
  <si>
    <t>炼石航空</t>
  </si>
  <si>
    <t>东方集团</t>
  </si>
  <si>
    <t>东北制药</t>
  </si>
  <si>
    <t>省广集团</t>
  </si>
  <si>
    <t>金鸿顺</t>
  </si>
  <si>
    <t>远达环保</t>
  </si>
  <si>
    <t>中国软件</t>
  </si>
  <si>
    <t>威星智能</t>
  </si>
  <si>
    <t>利源股份</t>
  </si>
  <si>
    <t>爱旭股份</t>
  </si>
  <si>
    <t>大港股份</t>
  </si>
  <si>
    <t>中国卫通</t>
  </si>
  <si>
    <t>百傲化学</t>
  </si>
  <si>
    <t>中电兴发</t>
  </si>
  <si>
    <t>东华软件</t>
  </si>
  <si>
    <t>威领股份</t>
  </si>
  <si>
    <t>缩量T字</t>
  </si>
  <si>
    <t>东风股份</t>
  </si>
  <si>
    <t>世荣兆业</t>
  </si>
  <si>
    <t>中储股份</t>
  </si>
  <si>
    <t>长春一东</t>
  </si>
  <si>
    <t>武汉凡谷</t>
  </si>
  <si>
    <t>柯力传感</t>
  </si>
  <si>
    <t>日出东方</t>
  </si>
  <si>
    <t>6.51%(炸板)</t>
  </si>
  <si>
    <t>7.9%(炸板)</t>
  </si>
  <si>
    <t>三维化学</t>
  </si>
  <si>
    <t>7.79%(炸板)</t>
  </si>
  <si>
    <t>返利科技</t>
  </si>
  <si>
    <t>南京熊猫</t>
  </si>
  <si>
    <t>东港股份</t>
  </si>
  <si>
    <t>柏诚股份</t>
  </si>
  <si>
    <t>星光股份</t>
  </si>
  <si>
    <t>高乐股份</t>
  </si>
  <si>
    <t>龙蟠科技</t>
  </si>
  <si>
    <t>南京商旅</t>
  </si>
  <si>
    <t>淳中科技</t>
  </si>
  <si>
    <t>其它</t>
  </si>
  <si>
    <t>实益达</t>
  </si>
  <si>
    <t xml:space="preserve"> -5.22%(炸板)</t>
  </si>
  <si>
    <t>永辉超市</t>
  </si>
  <si>
    <t>真爱美家</t>
  </si>
  <si>
    <t>快意电梯</t>
  </si>
  <si>
    <t>光华科技</t>
  </si>
  <si>
    <t>海南瑞泽</t>
  </si>
  <si>
    <t>东易日盛</t>
  </si>
  <si>
    <t>欣龙控股</t>
  </si>
  <si>
    <t>宏昌电子</t>
  </si>
  <si>
    <t>亚威股份</t>
  </si>
  <si>
    <t>奋达科技</t>
  </si>
  <si>
    <t>宁波精达</t>
  </si>
  <si>
    <t>统一股份</t>
  </si>
  <si>
    <t>雅博股份</t>
  </si>
  <si>
    <t>中公教育</t>
  </si>
  <si>
    <t>文峰股份</t>
  </si>
  <si>
    <t>多伦科技</t>
  </si>
  <si>
    <t>全筑股份</t>
  </si>
  <si>
    <t>7.07%(炸板)</t>
  </si>
  <si>
    <t>正平股份</t>
  </si>
  <si>
    <t>双塔食品</t>
  </si>
  <si>
    <t>5.17%(炸板)</t>
  </si>
  <si>
    <t>达华智能</t>
  </si>
  <si>
    <t>遥望科技</t>
  </si>
  <si>
    <t>三湘印象</t>
  </si>
  <si>
    <t>博瑞传播</t>
  </si>
  <si>
    <t>大唐电信</t>
  </si>
  <si>
    <t>威尔泰</t>
  </si>
  <si>
    <t>岭南股份</t>
  </si>
  <si>
    <t>元隆雅图</t>
  </si>
  <si>
    <t>潍柴重机</t>
  </si>
  <si>
    <t>中恒电气</t>
  </si>
  <si>
    <t>0.17%(炸板)</t>
  </si>
  <si>
    <t>威奥股份</t>
  </si>
  <si>
    <t>香飘飘</t>
  </si>
  <si>
    <t>5.85%(炸板)</t>
  </si>
  <si>
    <r>
      <rPr>
        <sz val="24"/>
        <color theme="0"/>
        <rFont val="文悦新青年体 (非商用) W8"/>
        <charset val="134"/>
      </rPr>
      <t>弱势前期</t>
    </r>
    <r>
      <rPr>
        <sz val="12"/>
        <color theme="0"/>
        <rFont val="文悦新青年体 (非商用) W8"/>
        <charset val="134"/>
      </rPr>
      <t xml:space="preserve">
大盘一直试图探底
成交量明显萎靡
不适合做高
适合做容量趋势核心股</t>
    </r>
  </si>
  <si>
    <t>锦和商管</t>
  </si>
  <si>
    <t>来伊份</t>
  </si>
  <si>
    <t>山子高科</t>
  </si>
  <si>
    <t>鲁抗医药</t>
  </si>
  <si>
    <t>济高发展</t>
  </si>
  <si>
    <t>力鼎光电</t>
  </si>
  <si>
    <t>五洲新春</t>
  </si>
  <si>
    <t>6.08%(炸板)</t>
  </si>
  <si>
    <t>康盛股份</t>
  </si>
  <si>
    <t>4.92%(炸板)</t>
  </si>
  <si>
    <t>利欧股份</t>
  </si>
  <si>
    <t>金智科技</t>
  </si>
  <si>
    <t>汇源通信</t>
  </si>
  <si>
    <r>
      <rPr>
        <sz val="24"/>
        <color theme="0"/>
        <rFont val="文悦新青年体 (非商用) W8"/>
        <charset val="134"/>
      </rPr>
      <t>趋势段</t>
    </r>
    <r>
      <rPr>
        <sz val="12"/>
        <color theme="0"/>
        <rFont val="文悦新青年体 (非商用) W8"/>
        <charset val="134"/>
      </rPr>
      <t xml:space="preserve">
</t>
    </r>
    <r>
      <rPr>
        <sz val="18"/>
        <color rgb="FFFFC000"/>
        <rFont val="文悦新青年体 (非商用) W8"/>
        <charset val="134"/>
      </rPr>
      <t>会存在强力的趋势股
多做趋势股</t>
    </r>
  </si>
  <si>
    <t>南威软件</t>
  </si>
  <si>
    <t>2.04%(炸板)</t>
  </si>
  <si>
    <t>0.82%(炸板)</t>
  </si>
  <si>
    <t>主板+趋势股，非常适合龙头短板前或负反馈前一直持有</t>
  </si>
  <si>
    <t>竞业达</t>
  </si>
  <si>
    <t>日发精机</t>
  </si>
  <si>
    <t>不是主板，资金参与度不高</t>
  </si>
  <si>
    <r>
      <rPr>
        <sz val="24"/>
        <color theme="0"/>
        <rFont val="文悦新青年体 (非商用) W8"/>
        <charset val="134"/>
      </rPr>
      <t xml:space="preserve">主板转弱初期
</t>
    </r>
    <r>
      <rPr>
        <sz val="18"/>
        <color rgb="FFFFC000"/>
        <rFont val="文悦新青年体 (非商用) W8"/>
        <charset val="134"/>
      </rPr>
      <t xml:space="preserve">反包情绪慢慢滋生
多做MA10突破股
</t>
    </r>
    <r>
      <rPr>
        <sz val="24"/>
        <color theme="0"/>
        <rFont val="文悦新青年体 (非商用) W8"/>
        <charset val="134"/>
      </rPr>
      <t xml:space="preserve">
</t>
    </r>
    <r>
      <rPr>
        <sz val="12"/>
        <color theme="0"/>
        <rFont val="文悦新青年体 (非商用) W8"/>
        <charset val="134"/>
      </rPr>
      <t xml:space="preserve">
</t>
    </r>
  </si>
  <si>
    <t>日海智能</t>
  </si>
  <si>
    <t>主板+趋势股，拓维信息展现反包情绪，主板+趋势股，看好明日红盘</t>
  </si>
  <si>
    <t>美年健康</t>
  </si>
  <si>
    <t>达安基因</t>
  </si>
  <si>
    <t>塞利医疗</t>
  </si>
  <si>
    <t>科华数据</t>
  </si>
  <si>
    <t>广聚能源</t>
  </si>
  <si>
    <t>大晟文化</t>
  </si>
  <si>
    <t>金发科技</t>
  </si>
  <si>
    <t xml:space="preserve"> 福莱新材</t>
  </si>
  <si>
    <t>云赛智联</t>
  </si>
  <si>
    <t>新华传媒</t>
  </si>
  <si>
    <t>福日电子</t>
  </si>
  <si>
    <t>好想你</t>
  </si>
  <si>
    <t>宁波建工</t>
  </si>
  <si>
    <t>晶华新材</t>
  </si>
  <si>
    <t>跃岭股份</t>
  </si>
  <si>
    <t>泰豪科技</t>
  </si>
  <si>
    <t>大位科技</t>
  </si>
  <si>
    <t>三维通信</t>
  </si>
  <si>
    <t>佳都科技</t>
  </si>
  <si>
    <t>南兴股份</t>
  </si>
  <si>
    <t>悦心健康</t>
  </si>
  <si>
    <t>天威视讯</t>
  </si>
  <si>
    <t>皇氏集团</t>
  </si>
  <si>
    <t>奥康国际</t>
  </si>
  <si>
    <t>中毅达</t>
  </si>
  <si>
    <t>赛福天</t>
  </si>
  <si>
    <t>炬申股份</t>
  </si>
  <si>
    <t>标准股份</t>
  </si>
  <si>
    <t>亿利达</t>
  </si>
  <si>
    <t>太和水</t>
  </si>
  <si>
    <t>3.39%(炸板)</t>
  </si>
  <si>
    <t>南宁百货</t>
  </si>
  <si>
    <t>盈方微</t>
  </si>
  <si>
    <t>2.19%(炸板)</t>
  </si>
  <si>
    <t>通达创智</t>
  </si>
  <si>
    <t>天沃科技</t>
  </si>
  <si>
    <t>蓝科高新</t>
  </si>
  <si>
    <t>新宏泽</t>
  </si>
  <si>
    <t>-2.99%(炸板)</t>
  </si>
  <si>
    <t>3.13%(炸板)</t>
  </si>
  <si>
    <t>跨境通</t>
  </si>
  <si>
    <t>8.35%(炸板)</t>
  </si>
  <si>
    <t>中旗新材</t>
  </si>
  <si>
    <t>方正电机</t>
  </si>
  <si>
    <t>西昌电力</t>
  </si>
  <si>
    <t>0.00(炸板)%</t>
  </si>
  <si>
    <t>东珠生态</t>
  </si>
  <si>
    <t>-5.92%(炸板)</t>
  </si>
  <si>
    <t>新华锦</t>
  </si>
  <si>
    <t>-3.51(炸板)%</t>
  </si>
  <si>
    <t>宝馨科技</t>
  </si>
  <si>
    <t>迪生力</t>
  </si>
  <si>
    <t>禾盛新材</t>
  </si>
  <si>
    <t>佳力图</t>
  </si>
  <si>
    <t>中嘉博创</t>
  </si>
  <si>
    <t>-5.11%(炸板)</t>
  </si>
  <si>
    <t>海程邦达</t>
  </si>
  <si>
    <t>华夏幸福</t>
  </si>
  <si>
    <t>安彩高科</t>
  </si>
  <si>
    <t>廊坊发展</t>
  </si>
  <si>
    <t>海森药业</t>
  </si>
  <si>
    <t>2.99%(炸板)</t>
  </si>
  <si>
    <t>新金路</t>
  </si>
  <si>
    <t>启迪环境</t>
  </si>
  <si>
    <t>7.02%(炸板)</t>
  </si>
  <si>
    <t>合锻智能</t>
  </si>
  <si>
    <t>海南海药</t>
  </si>
  <si>
    <t>5.79%(炸板)</t>
  </si>
  <si>
    <t>申科股份</t>
  </si>
  <si>
    <t>乐惠国际</t>
  </si>
  <si>
    <t>6.97%(炸板)</t>
  </si>
  <si>
    <t>合兴股份</t>
  </si>
  <si>
    <t>-5.79%(炸板)</t>
  </si>
  <si>
    <t>楚天龙</t>
  </si>
  <si>
    <t>甬金股份</t>
  </si>
  <si>
    <t>曲江文旅</t>
  </si>
  <si>
    <t>新北洋</t>
  </si>
  <si>
    <t>安妮股份</t>
  </si>
  <si>
    <t>9.96(炸板)%</t>
  </si>
  <si>
    <t>永安药业</t>
  </si>
  <si>
    <t>-7.13%(炸板)</t>
  </si>
  <si>
    <t>萃华珠宝</t>
  </si>
  <si>
    <t>莫高股份</t>
  </si>
  <si>
    <t xml:space="preserve"> 宁波海运</t>
  </si>
  <si>
    <t>天顺股份</t>
  </si>
  <si>
    <t>永安行</t>
  </si>
  <si>
    <t>瑞达期货</t>
  </si>
  <si>
    <t>中光学</t>
  </si>
  <si>
    <t>-4.28%(炸板)</t>
  </si>
  <si>
    <t>渤海汽车</t>
  </si>
  <si>
    <t>创新医疗</t>
  </si>
  <si>
    <t>3.98%(炸板)</t>
  </si>
  <si>
    <t>四创电子</t>
  </si>
  <si>
    <t>昂利康</t>
  </si>
  <si>
    <t>精艺股份</t>
  </si>
  <si>
    <t>宝泰隆</t>
  </si>
  <si>
    <r>
      <rPr>
        <sz val="24"/>
        <color theme="0"/>
        <rFont val="文悦新青年体 (非商用) W8"/>
        <charset val="134"/>
      </rPr>
      <t>反弹初期</t>
    </r>
    <r>
      <rPr>
        <sz val="12"/>
        <color theme="0"/>
        <rFont val="文悦新青年体 (非商用) W8"/>
        <charset val="134"/>
      </rPr>
      <t xml:space="preserve">
市场风格是高开低走</t>
    </r>
  </si>
  <si>
    <t>仁智股份</t>
  </si>
  <si>
    <t>MA5买入不亏</t>
  </si>
  <si>
    <t>华资实业</t>
  </si>
  <si>
    <t>美邦服饰</t>
  </si>
  <si>
    <t>-1.5%(炸板)</t>
  </si>
  <si>
    <t>益民集团</t>
  </si>
  <si>
    <t>离MA5太远，DAY-1不适合买入</t>
  </si>
  <si>
    <t>永茂泰</t>
  </si>
  <si>
    <t>离MA5有段距离，D-DAY量太大，不适合买入</t>
  </si>
  <si>
    <t>哈药股份</t>
  </si>
  <si>
    <t>MA5线时可买入</t>
  </si>
  <si>
    <t>氯碱化工</t>
  </si>
  <si>
    <t>葫芦娃</t>
  </si>
  <si>
    <t>宝鼎科技</t>
  </si>
  <si>
    <t>柘中股份</t>
  </si>
  <si>
    <t>动力源</t>
  </si>
  <si>
    <t>惠而浦</t>
  </si>
  <si>
    <t>汇洲智能</t>
  </si>
  <si>
    <t>离MA5线时可买入</t>
  </si>
  <si>
    <t>东方智造</t>
  </si>
  <si>
    <t>顺钠股份</t>
  </si>
  <si>
    <t>-6.1%(炸板)</t>
  </si>
  <si>
    <t>炸板不适合买入</t>
  </si>
  <si>
    <t>瑞芯微</t>
  </si>
  <si>
    <t>神雾节能</t>
  </si>
  <si>
    <t>远程股份</t>
  </si>
  <si>
    <t>德力股份</t>
  </si>
  <si>
    <t>郑中设计</t>
  </si>
  <si>
    <t>大连友谊</t>
  </si>
  <si>
    <t>巨轮智能</t>
  </si>
  <si>
    <t>汇鸿集团</t>
  </si>
  <si>
    <t>博通集成</t>
  </si>
  <si>
    <t>好利科技</t>
  </si>
  <si>
    <t>-2.33%(水上)</t>
  </si>
  <si>
    <t>中化装备</t>
  </si>
  <si>
    <t>长华集团</t>
  </si>
  <si>
    <t>友邦吊顶</t>
  </si>
  <si>
    <t xml:space="preserve">涨停 </t>
  </si>
  <si>
    <r>
      <rPr>
        <sz val="12"/>
        <color theme="0"/>
        <rFont val="文悦新青年体 (非商用) W8"/>
        <charset val="134"/>
      </rPr>
      <t xml:space="preserve">
</t>
    </r>
    <r>
      <rPr>
        <sz val="24"/>
        <color theme="0"/>
        <rFont val="文悦新青年体 (非商用) W8"/>
        <charset val="134"/>
      </rPr>
      <t>趋势初期</t>
    </r>
    <r>
      <rPr>
        <sz val="12"/>
        <color theme="0"/>
        <rFont val="文悦新青年体 (非商用) W8"/>
        <charset val="134"/>
      </rPr>
      <t xml:space="preserve">
比起反包做趋势性价比更高
</t>
    </r>
  </si>
  <si>
    <t>金财互联</t>
  </si>
  <si>
    <t>雷柏科技</t>
  </si>
  <si>
    <t>塞力医疗</t>
  </si>
  <si>
    <t>皇庭国际</t>
  </si>
  <si>
    <t>创兴资源</t>
  </si>
  <si>
    <t>金帝股份</t>
  </si>
  <si>
    <t>华数传媒</t>
  </si>
  <si>
    <t>福莱新材</t>
  </si>
  <si>
    <t>浙文互联</t>
  </si>
  <si>
    <t>皓宸医疗</t>
  </si>
  <si>
    <t>盈峰环境</t>
  </si>
  <si>
    <t>京能热力</t>
  </si>
  <si>
    <t>北方国际</t>
  </si>
  <si>
    <t>地铁设计</t>
  </si>
  <si>
    <t>首开股份</t>
  </si>
  <si>
    <t>国际医学</t>
  </si>
  <si>
    <t>福鞍股份</t>
  </si>
  <si>
    <t>川润股份</t>
  </si>
  <si>
    <t>天成自控</t>
  </si>
  <si>
    <t>科森科技</t>
  </si>
  <si>
    <t>东百集团</t>
  </si>
  <si>
    <t>海南椰岛</t>
  </si>
  <si>
    <t>华钰矿业</t>
  </si>
  <si>
    <t>海航科技</t>
  </si>
  <si>
    <t>杭电股份</t>
  </si>
  <si>
    <t>卓翼科技</t>
  </si>
  <si>
    <t>正和生态</t>
  </si>
  <si>
    <t>金瑞矿业</t>
  </si>
  <si>
    <t>光华股份</t>
  </si>
  <si>
    <t>华丰股份</t>
  </si>
  <si>
    <t>鸿远电子</t>
  </si>
  <si>
    <t>中科云网</t>
  </si>
  <si>
    <t>宁波高发</t>
  </si>
  <si>
    <t>莱绅通灵</t>
  </si>
  <si>
    <t>万马股份</t>
  </si>
  <si>
    <t>韶能股份</t>
  </si>
  <si>
    <t>共达电声</t>
  </si>
  <si>
    <t>联合精密</t>
  </si>
  <si>
    <t>王子新材</t>
  </si>
  <si>
    <t>三房巷</t>
  </si>
  <si>
    <t>河化股份</t>
  </si>
  <si>
    <t>江苏新能</t>
  </si>
  <si>
    <t>润都股份</t>
  </si>
  <si>
    <t>中超控股</t>
  </si>
  <si>
    <t>天和磁材</t>
  </si>
  <si>
    <t>祖名股份</t>
  </si>
  <si>
    <t>敦煌种业</t>
  </si>
  <si>
    <t>宏辉果蔬</t>
  </si>
  <si>
    <t>丰乐种业</t>
  </si>
  <si>
    <t>600679.SH</t>
  </si>
  <si>
    <t>600561.SH</t>
  </si>
  <si>
    <t>002638.SZ</t>
  </si>
  <si>
    <t>002576.SZ</t>
  </si>
  <si>
    <t>002523.SZ</t>
  </si>
  <si>
    <t>002403.SZ</t>
  </si>
  <si>
    <t>002402.SZ</t>
  </si>
  <si>
    <t>002400.SZ</t>
  </si>
  <si>
    <t>002354.SZ</t>
  </si>
  <si>
    <t>002291.SZ</t>
  </si>
  <si>
    <t>002277.SZ</t>
  </si>
  <si>
    <t>002269.SZ</t>
  </si>
  <si>
    <t>002265.SZ</t>
  </si>
  <si>
    <t>002235.SZ</t>
  </si>
  <si>
    <t>002187.SZ</t>
  </si>
  <si>
    <t>002181.SZ</t>
  </si>
  <si>
    <t>002175.SZ</t>
  </si>
  <si>
    <t>002148.SZ</t>
  </si>
  <si>
    <t>002122.SZ</t>
  </si>
  <si>
    <t>002115.SZ</t>
  </si>
  <si>
    <t>002103.SZ</t>
  </si>
  <si>
    <t>002045.SZ</t>
  </si>
  <si>
    <t>002009.SZ</t>
  </si>
  <si>
    <t>001330.SZ</t>
  </si>
  <si>
    <t>000863.SZ</t>
  </si>
  <si>
    <t>000816.SZ</t>
  </si>
  <si>
    <t>000813.SZ</t>
  </si>
  <si>
    <t>000811.SZ</t>
  </si>
  <si>
    <t>000785.SZ</t>
  </si>
  <si>
    <t>000759.SZ</t>
  </si>
  <si>
    <t>000721.SZ</t>
  </si>
  <si>
    <t>000681.SZ</t>
  </si>
  <si>
    <t>000679.SZ</t>
  </si>
  <si>
    <t>000619.SZ</t>
  </si>
  <si>
    <t>000610.SZ</t>
  </si>
  <si>
    <t>000558.SZ</t>
  </si>
  <si>
    <t>000530.SZ</t>
  </si>
  <si>
    <t>000520.SZ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</si>
</sst>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  <numFmt numFmtId="178" formatCode="0.00_ "/>
    <numFmt numFmtId="179" formatCode="0.000"/>
    <numFmt numFmtId="180" formatCode="_ [$¥-804]* #,##0.00_ ;_ [$¥-804]* \-#,##0.00_ ;_ [$¥-804]* &quot;-&quot;??_ ;_ @_ "/>
    <numFmt numFmtId="181" formatCode="_ [$¥-478]* #,##0.00_ ;_ [$¥-478]* \-#,##0.00_ ;_ [$¥-478]* &quot;-&quot;??_ ;_ @_ "/>
    <numFmt numFmtId="182" formatCode="[$$-1004]#,##0.00"/>
    <numFmt numFmtId="183" formatCode="[$-409]mmm\-yy;@"/>
    <numFmt numFmtId="184" formatCode="&quot;$&quot;#,##0.00"/>
  </numFmts>
  <fonts count="42">
    <font>
      <sz val="11"/>
      <color theme="1"/>
      <name val="等线"/>
      <charset val="134"/>
      <scheme val="minor"/>
    </font>
    <font>
      <sz val="11"/>
      <color theme="0" tint="-0.05"/>
      <name val="等线"/>
      <charset val="134"/>
      <scheme val="minor"/>
    </font>
    <font>
      <sz val="12"/>
      <color theme="0" tint="-0.0499893185216834"/>
      <name val="文悦新青年体 (非商用) W8"/>
      <charset val="134"/>
    </font>
    <font>
      <sz val="12"/>
      <color theme="0"/>
      <name val="文悦新青年体 (非商用) W8"/>
      <charset val="134"/>
    </font>
    <font>
      <sz val="12"/>
      <color rgb="FFFFC000"/>
      <name val="文悦新青年体 (非商用) W8"/>
      <charset val="134"/>
    </font>
    <font>
      <b/>
      <sz val="16"/>
      <name val="文悦新青年体 (非商用) W8"/>
      <charset val="134"/>
    </font>
    <font>
      <b/>
      <sz val="12"/>
      <name val="文悦新青年体 (非商用) W8"/>
      <charset val="134"/>
    </font>
    <font>
      <sz val="6"/>
      <color theme="0"/>
      <name val="文悦新青年体 (非商用) W8"/>
      <charset val="134"/>
    </font>
    <font>
      <sz val="12"/>
      <color theme="1" tint="0.25"/>
      <name val="文悦新青年体 (非商用) W8"/>
      <charset val="134"/>
    </font>
    <font>
      <sz val="12"/>
      <color theme="1"/>
      <name val="文悦新青年体 (非商用) W8"/>
      <charset val="134"/>
    </font>
    <font>
      <sz val="24"/>
      <color theme="0"/>
      <name val="文悦新青年体 (非商用) W8"/>
      <charset val="134"/>
    </font>
    <font>
      <sz val="12"/>
      <color theme="1" tint="0.35"/>
      <name val="文悦新青年体 (非商用) W8"/>
      <charset val="134"/>
    </font>
    <font>
      <sz val="12"/>
      <color rgb="FF00B050"/>
      <name val="文悦新青年体 (非商用) W8"/>
      <charset val="134"/>
    </font>
    <font>
      <sz val="12"/>
      <color theme="1" tint="0.5"/>
      <name val="文悦新青年体 (非商用) W8"/>
      <charset val="134"/>
    </font>
    <font>
      <sz val="12"/>
      <color theme="0" tint="-0.05"/>
      <name val="文悦新青年体 (非商用) W8"/>
      <charset val="134"/>
    </font>
    <font>
      <sz val="10"/>
      <name val="文悦新青年体 (非商用) W8"/>
      <charset val="134"/>
    </font>
    <font>
      <b/>
      <sz val="20"/>
      <color theme="1" tint="0.35"/>
      <name val="文悦新青年体 (非商用) W8"/>
      <charset val="134"/>
    </font>
    <font>
      <sz val="12"/>
      <name val="文悦新青年体 (非商用) W8"/>
      <charset val="134"/>
    </font>
    <font>
      <sz val="12"/>
      <color theme="1" tint="0.15"/>
      <name val="文悦新青年体 (非商用) W8"/>
      <charset val="134"/>
    </font>
    <font>
      <sz val="12"/>
      <color theme="1" tint="0.499984740745262"/>
      <name val="文悦新青年体 (非商用) W8"/>
      <charset val="134"/>
    </font>
    <font>
      <sz val="10"/>
      <color theme="0"/>
      <name val="文悦新青年体 (非商用) W8"/>
      <charset val="134"/>
    </font>
    <font>
      <sz val="10"/>
      <color theme="1"/>
      <name val="文悦新青年体 (非商用) W8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8"/>
      <color rgb="FFFFC000"/>
      <name val="文悦新青年体 (非商用) W8"/>
      <charset val="134"/>
    </font>
  </fonts>
  <fills count="4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3131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27272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0">
    <border>
      <left/>
      <right/>
      <top/>
      <bottom/>
      <diagonal/>
    </border>
    <border>
      <left style="thin">
        <color rgb="FFFFC000"/>
      </left>
      <right style="thin">
        <color rgb="FFFFC000"/>
      </right>
      <top/>
      <bottom/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/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/>
      <diagonal/>
    </border>
    <border>
      <left/>
      <right style="thin">
        <color theme="1" tint="0.5"/>
      </right>
      <top style="thin">
        <color theme="1" tint="0.5"/>
      </top>
      <bottom/>
      <diagonal/>
    </border>
    <border>
      <left style="thin">
        <color theme="1" tint="0.5"/>
      </left>
      <right/>
      <top style="thin">
        <color theme="1" tint="0.5"/>
      </top>
      <bottom style="thin">
        <color theme="1" tint="0.5"/>
      </bottom>
      <diagonal/>
    </border>
    <border>
      <left style="medium">
        <color rgb="FFFFC000"/>
      </left>
      <right style="medium">
        <color rgb="FFFFC000"/>
      </right>
      <top style="thin">
        <color theme="1" tint="0.5"/>
      </top>
      <bottom style="thin">
        <color theme="1" tint="0.5"/>
      </bottom>
      <diagonal/>
    </border>
    <border>
      <left style="thin">
        <color theme="1" tint="0.5"/>
      </left>
      <right style="thin">
        <color theme="1" tint="0.5"/>
      </right>
      <top/>
      <bottom/>
      <diagonal/>
    </border>
    <border>
      <left style="thin">
        <color theme="1" tint="0.5"/>
      </left>
      <right style="thin">
        <color theme="1" tint="0.5"/>
      </right>
      <top/>
      <bottom style="thin">
        <color theme="1" tint="0.5"/>
      </bottom>
      <diagonal/>
    </border>
    <border>
      <left style="thin">
        <color theme="1" tint="0.5"/>
      </left>
      <right/>
      <top style="thin">
        <color theme="1" tint="0.5"/>
      </top>
      <bottom/>
      <diagonal/>
    </border>
    <border>
      <left style="thin">
        <color theme="1" tint="0.5"/>
      </left>
      <right/>
      <top/>
      <bottom/>
      <diagonal/>
    </border>
    <border>
      <left style="thin">
        <color theme="1" tint="0.5"/>
      </left>
      <right/>
      <top/>
      <bottom style="thin">
        <color theme="1" tint="0.5"/>
      </bottom>
      <diagonal/>
    </border>
    <border>
      <left style="thin">
        <color theme="1" tint="0.349986266670736"/>
      </left>
      <right style="thin">
        <color theme="1" tint="0.349986266670736"/>
      </right>
      <top style="thin">
        <color theme="1" tint="0.349986266670736"/>
      </top>
      <bottom style="thin">
        <color theme="1" tint="0.349986266670736"/>
      </bottom>
      <diagonal/>
    </border>
    <border>
      <left style="thin">
        <color theme="1" tint="0.349986266670736"/>
      </left>
      <right style="thin">
        <color theme="1" tint="0.349986266670736"/>
      </right>
      <top style="thin">
        <color theme="1" tint="0.349986266670736"/>
      </top>
      <bottom/>
      <diagonal/>
    </border>
    <border>
      <left style="thin">
        <color theme="1" tint="0.349986266670736"/>
      </left>
      <right style="thin">
        <color theme="1" tint="0.349986266670736"/>
      </right>
      <top/>
      <bottom/>
      <diagonal/>
    </border>
    <border>
      <left style="thin">
        <color theme="1" tint="0.349986266670736"/>
      </left>
      <right style="thin">
        <color theme="1" tint="0.349986266670736"/>
      </right>
      <top/>
      <bottom style="thin">
        <color theme="1" tint="0.349986266670736"/>
      </bottom>
      <diagonal/>
    </border>
    <border>
      <left/>
      <right/>
      <top style="thin">
        <color theme="1" tint="0.5"/>
      </top>
      <bottom style="thin">
        <color theme="1" tint="0.5"/>
      </bottom>
      <diagonal/>
    </border>
    <border>
      <left/>
      <right style="thin">
        <color theme="1" tint="0.5"/>
      </right>
      <top/>
      <bottom style="thin">
        <color theme="1" tint="0.5"/>
      </bottom>
      <diagonal/>
    </border>
    <border>
      <left style="medium">
        <color rgb="FFFFC000"/>
      </left>
      <right/>
      <top style="thin">
        <color theme="1" tint="0.5"/>
      </top>
      <bottom style="thin">
        <color theme="1" tint="0.5"/>
      </bottom>
      <diagonal/>
    </border>
    <border>
      <left style="medium">
        <color theme="1" tint="0.5"/>
      </left>
      <right style="medium">
        <color theme="1" tint="0.5"/>
      </right>
      <top style="medium">
        <color theme="1" tint="0.5"/>
      </top>
      <bottom style="medium">
        <color theme="1" tint="0.5"/>
      </bottom>
      <diagonal/>
    </border>
    <border>
      <left style="thick">
        <color rgb="FFFFC000"/>
      </left>
      <right/>
      <top style="thick">
        <color rgb="FFFFC000"/>
      </top>
      <bottom/>
      <diagonal/>
    </border>
    <border>
      <left/>
      <right/>
      <top style="thick">
        <color rgb="FFFFC000"/>
      </top>
      <bottom/>
      <diagonal/>
    </border>
    <border>
      <left style="thin">
        <color rgb="FFFFC000"/>
      </left>
      <right style="thin">
        <color rgb="FFFFC000"/>
      </right>
      <top style="thick">
        <color rgb="FFFFC000"/>
      </top>
      <bottom/>
      <diagonal/>
    </border>
    <border>
      <left/>
      <right style="thick">
        <color rgb="FFFFC000"/>
      </right>
      <top style="thick">
        <color rgb="FFFFC000"/>
      </top>
      <bottom/>
      <diagonal/>
    </border>
    <border>
      <left style="thick">
        <color rgb="FFFFC000"/>
      </left>
      <right/>
      <top/>
      <bottom/>
      <diagonal/>
    </border>
    <border>
      <left/>
      <right style="thick">
        <color rgb="FFFFC000"/>
      </right>
      <top/>
      <bottom/>
      <diagonal/>
    </border>
    <border>
      <left style="thick">
        <color rgb="FFFFC000"/>
      </left>
      <right/>
      <top style="thin">
        <color theme="1" tint="0.5"/>
      </top>
      <bottom style="thin">
        <color theme="1" tint="0.5"/>
      </bottom>
      <diagonal/>
    </border>
    <border>
      <left style="thin">
        <color rgb="FFFFC000"/>
      </left>
      <right style="thin">
        <color rgb="FFFFC000"/>
      </right>
      <top style="thin">
        <color theme="1" tint="0.5"/>
      </top>
      <bottom style="thin">
        <color theme="1" tint="0.5"/>
      </bottom>
      <diagonal/>
    </border>
    <border>
      <left/>
      <right style="thick">
        <color rgb="FFFFC000"/>
      </right>
      <top style="thin">
        <color theme="1" tint="0.5"/>
      </top>
      <bottom style="thin">
        <color theme="1" tint="0.5"/>
      </bottom>
      <diagonal/>
    </border>
    <border>
      <left style="thick">
        <color rgb="FFFFC000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theme="1" tint="0.5"/>
      </left>
      <right style="thick">
        <color rgb="FFFFC000"/>
      </right>
      <top style="thin">
        <color theme="1" tint="0.5"/>
      </top>
      <bottom style="thin">
        <color theme="1" tint="0.5"/>
      </bottom>
      <diagonal/>
    </border>
    <border>
      <left style="thick">
        <color rgb="FFFFC000"/>
      </left>
      <right style="thin">
        <color theme="1" tint="0.5"/>
      </right>
      <top style="thin">
        <color theme="1" tint="0.5"/>
      </top>
      <bottom/>
      <diagonal/>
    </border>
    <border>
      <left style="thin">
        <color rgb="FFFFC000"/>
      </left>
      <right style="thin">
        <color rgb="FFFFC000"/>
      </right>
      <top style="thin">
        <color theme="1" tint="0.5"/>
      </top>
      <bottom/>
      <diagonal/>
    </border>
    <border>
      <left/>
      <right/>
      <top style="thin">
        <color theme="1" tint="0.5"/>
      </top>
      <bottom/>
      <diagonal/>
    </border>
    <border>
      <left/>
      <right style="thick">
        <color rgb="FFFFC000"/>
      </right>
      <top style="thin">
        <color theme="1" tint="0.5"/>
      </top>
      <bottom/>
      <diagonal/>
    </border>
    <border>
      <left style="thick">
        <color rgb="FFFFC000"/>
      </left>
      <right style="thin">
        <color theme="1" tint="0.5"/>
      </right>
      <top style="thin">
        <color theme="1" tint="0.5"/>
      </top>
      <bottom style="thick">
        <color rgb="FFFFC000"/>
      </bottom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ck">
        <color rgb="FFFFC000"/>
      </bottom>
      <diagonal/>
    </border>
    <border>
      <left style="thin">
        <color theme="1" tint="0.5"/>
      </left>
      <right/>
      <top style="thin">
        <color theme="1" tint="0.5"/>
      </top>
      <bottom style="thick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theme="1" tint="0.5"/>
      </top>
      <bottom style="thick">
        <color rgb="FFFFC000"/>
      </bottom>
      <diagonal/>
    </border>
    <border>
      <left/>
      <right/>
      <top style="thin">
        <color theme="1" tint="0.5"/>
      </top>
      <bottom style="thick">
        <color rgb="FFFFC000"/>
      </bottom>
      <diagonal/>
    </border>
    <border>
      <left/>
      <right style="thick">
        <color rgb="FFFFC000"/>
      </right>
      <top style="thin">
        <color theme="1" tint="0.5"/>
      </top>
      <bottom style="thick">
        <color rgb="FFFFC000"/>
      </bottom>
      <diagonal/>
    </border>
    <border>
      <left style="thin">
        <color theme="2" tint="-0.5"/>
      </left>
      <right style="thin">
        <color theme="2" tint="-0.5"/>
      </right>
      <top/>
      <bottom style="thin">
        <color theme="2" tint="-0.5"/>
      </bottom>
      <diagonal/>
    </border>
    <border>
      <left style="thin">
        <color theme="1" tint="0.5"/>
      </left>
      <right/>
      <top/>
      <bottom style="thin">
        <color theme="2" tint="-0.5"/>
      </bottom>
      <diagonal/>
    </border>
    <border>
      <left/>
      <right/>
      <top/>
      <bottom style="thin">
        <color theme="2" tint="-0.5"/>
      </bottom>
      <diagonal/>
    </border>
    <border>
      <left/>
      <right style="thin">
        <color theme="2" tint="-0.5"/>
      </right>
      <top/>
      <bottom style="thin">
        <color theme="2" tint="-0.5"/>
      </bottom>
      <diagonal/>
    </border>
    <border>
      <left style="thin">
        <color theme="2" tint="-0.5"/>
      </left>
      <right style="thin">
        <color theme="2" tint="-0.5"/>
      </right>
      <top style="thin">
        <color theme="2" tint="-0.5"/>
      </top>
      <bottom style="thin">
        <color theme="2" tint="-0.5"/>
      </bottom>
      <diagonal/>
    </border>
    <border>
      <left style="thin">
        <color theme="1" tint="0.5"/>
      </left>
      <right/>
      <top style="thin">
        <color theme="2" tint="-0.5"/>
      </top>
      <bottom style="thin">
        <color theme="2" tint="-0.5"/>
      </bottom>
      <diagonal/>
    </border>
    <border>
      <left/>
      <right/>
      <top style="thin">
        <color theme="2" tint="-0.5"/>
      </top>
      <bottom style="thin">
        <color theme="2" tint="-0.5"/>
      </bottom>
      <diagonal/>
    </border>
    <border>
      <left/>
      <right style="thin">
        <color theme="2" tint="-0.5"/>
      </right>
      <top style="thin">
        <color theme="2" tint="-0.5"/>
      </top>
      <bottom style="thin">
        <color theme="2" tint="-0.5"/>
      </bottom>
      <diagonal/>
    </border>
    <border>
      <left style="thin">
        <color theme="2" tint="-0.5"/>
      </left>
      <right style="thin">
        <color theme="2" tint="-0.5"/>
      </right>
      <top style="thin">
        <color theme="2" tint="-0.5"/>
      </top>
      <bottom/>
      <diagonal/>
    </border>
    <border>
      <left style="thin">
        <color theme="2" tint="-0.5"/>
      </left>
      <right style="thin">
        <color theme="2" tint="-0.5"/>
      </right>
      <top/>
      <bottom/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/>
      <top/>
      <bottom/>
      <diagonal/>
    </border>
    <border>
      <left/>
      <right style="thick">
        <color rgb="FF00B050"/>
      </right>
      <top/>
      <bottom/>
      <diagonal/>
    </border>
    <border>
      <left style="thick">
        <color rgb="FFFFC000"/>
      </left>
      <right/>
      <top/>
      <bottom style="thick">
        <color rgb="FFFFC000"/>
      </bottom>
      <diagonal/>
    </border>
    <border>
      <left/>
      <right/>
      <top/>
      <bottom style="thick">
        <color rgb="FFFFC000"/>
      </bottom>
      <diagonal/>
    </border>
    <border>
      <left/>
      <right style="thick">
        <color rgb="FFFFC000"/>
      </right>
      <top/>
      <bottom style="thick">
        <color rgb="FFFFC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9" borderId="6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63" applyNumberFormat="0" applyFill="0" applyAlignment="0" applyProtection="0">
      <alignment vertical="center"/>
    </xf>
    <xf numFmtId="0" fontId="28" fillId="0" borderId="63" applyNumberFormat="0" applyFill="0" applyAlignment="0" applyProtection="0">
      <alignment vertical="center"/>
    </xf>
    <xf numFmtId="0" fontId="29" fillId="0" borderId="6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0" borderId="65" applyNumberFormat="0" applyAlignment="0" applyProtection="0">
      <alignment vertical="center"/>
    </xf>
    <xf numFmtId="0" fontId="31" fillId="11" borderId="66" applyNumberFormat="0" applyAlignment="0" applyProtection="0">
      <alignment vertical="center"/>
    </xf>
    <xf numFmtId="0" fontId="32" fillId="11" borderId="65" applyNumberFormat="0" applyAlignment="0" applyProtection="0">
      <alignment vertical="center"/>
    </xf>
    <xf numFmtId="0" fontId="33" fillId="12" borderId="67" applyNumberFormat="0" applyAlignment="0" applyProtection="0">
      <alignment vertical="center"/>
    </xf>
    <xf numFmtId="0" fontId="34" fillId="0" borderId="68" applyNumberFormat="0" applyFill="0" applyAlignment="0" applyProtection="0">
      <alignment vertical="center"/>
    </xf>
    <xf numFmtId="0" fontId="35" fillId="0" borderId="69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</cellStyleXfs>
  <cellXfs count="378">
    <xf numFmtId="0" fontId="0" fillId="0" borderId="0" xfId="0"/>
    <xf numFmtId="0" fontId="1" fillId="2" borderId="0" xfId="0" applyFont="1" applyFill="1"/>
    <xf numFmtId="0" fontId="2" fillId="3" borderId="0" xfId="0" applyFont="1" applyFill="1"/>
    <xf numFmtId="176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10" fontId="3" fillId="3" borderId="0" xfId="0" applyNumberFormat="1" applyFont="1" applyFill="1" applyBorder="1" applyAlignment="1">
      <alignment horizontal="center" vertical="center"/>
    </xf>
    <xf numFmtId="177" fontId="4" fillId="3" borderId="0" xfId="0" applyNumberFormat="1" applyFont="1" applyFill="1" applyAlignment="1">
      <alignment horizontal="center" vertical="center"/>
    </xf>
    <xf numFmtId="10" fontId="4" fillId="3" borderId="0" xfId="0" applyNumberFormat="1" applyFont="1" applyFill="1" applyAlignment="1">
      <alignment horizontal="center" vertical="center"/>
    </xf>
    <xf numFmtId="178" fontId="4" fillId="3" borderId="0" xfId="0" applyNumberFormat="1" applyFont="1" applyFill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177" fontId="3" fillId="3" borderId="3" xfId="0" applyNumberFormat="1" applyFont="1" applyFill="1" applyBorder="1" applyAlignment="1">
      <alignment horizontal="center" vertical="center"/>
    </xf>
    <xf numFmtId="177" fontId="3" fillId="3" borderId="2" xfId="0" applyNumberFormat="1" applyFont="1" applyFill="1" applyBorder="1" applyAlignment="1">
      <alignment horizontal="center" vertical="center"/>
    </xf>
    <xf numFmtId="17" fontId="4" fillId="3" borderId="4" xfId="0" applyNumberFormat="1" applyFont="1" applyFill="1" applyBorder="1" applyAlignment="1">
      <alignment horizontal="center" vertical="center"/>
    </xf>
    <xf numFmtId="177" fontId="4" fillId="3" borderId="3" xfId="0" applyNumberFormat="1" applyFont="1" applyFill="1" applyBorder="1" applyAlignment="1">
      <alignment horizontal="center" vertical="center"/>
    </xf>
    <xf numFmtId="177" fontId="4" fillId="3" borderId="2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3" borderId="3" xfId="0" applyFont="1" applyFill="1" applyBorder="1"/>
    <xf numFmtId="0" fontId="2" fillId="3" borderId="2" xfId="0" applyFont="1" applyFill="1" applyBorder="1"/>
    <xf numFmtId="177" fontId="2" fillId="3" borderId="2" xfId="0" applyNumberFormat="1" applyFont="1" applyFill="1" applyBorder="1"/>
    <xf numFmtId="177" fontId="4" fillId="3" borderId="5" xfId="0" applyNumberFormat="1" applyFont="1" applyFill="1" applyBorder="1" applyAlignment="1">
      <alignment horizontal="center" vertical="center"/>
    </xf>
    <xf numFmtId="177" fontId="4" fillId="3" borderId="4" xfId="0" applyNumberFormat="1" applyFont="1" applyFill="1" applyBorder="1" applyAlignment="1">
      <alignment horizontal="center" vertical="center"/>
    </xf>
    <xf numFmtId="17" fontId="4" fillId="3" borderId="2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 indent="1"/>
    </xf>
    <xf numFmtId="0" fontId="7" fillId="3" borderId="0" xfId="0" applyFont="1" applyFill="1" applyBorder="1" applyAlignment="1">
      <alignment vertical="center"/>
    </xf>
    <xf numFmtId="176" fontId="3" fillId="3" borderId="2" xfId="0" applyNumberFormat="1" applyFont="1" applyFill="1" applyBorder="1" applyAlignment="1">
      <alignment horizontal="center" vertical="center"/>
    </xf>
    <xf numFmtId="10" fontId="3" fillId="3" borderId="6" xfId="0" applyNumberFormat="1" applyFont="1" applyFill="1" applyBorder="1" applyAlignment="1">
      <alignment horizontal="center" vertical="center"/>
    </xf>
    <xf numFmtId="10" fontId="3" fillId="3" borderId="7" xfId="0" applyNumberFormat="1" applyFont="1" applyFill="1" applyBorder="1" applyAlignment="1">
      <alignment horizontal="center" vertical="center"/>
    </xf>
    <xf numFmtId="10" fontId="3" fillId="3" borderId="3" xfId="0" applyNumberFormat="1" applyFont="1" applyFill="1" applyBorder="1" applyAlignment="1">
      <alignment horizontal="center" vertical="center"/>
    </xf>
    <xf numFmtId="10" fontId="3" fillId="3" borderId="2" xfId="0" applyNumberFormat="1" applyFont="1" applyFill="1" applyBorder="1" applyAlignment="1">
      <alignment horizontal="center" vertical="center"/>
    </xf>
    <xf numFmtId="176" fontId="8" fillId="3" borderId="2" xfId="0" applyNumberFormat="1" applyFont="1" applyFill="1" applyBorder="1" applyAlignment="1">
      <alignment horizontal="center" vertical="center"/>
    </xf>
    <xf numFmtId="10" fontId="4" fillId="3" borderId="2" xfId="0" applyNumberFormat="1" applyFont="1" applyFill="1" applyBorder="1" applyAlignment="1">
      <alignment horizontal="center" vertical="center"/>
    </xf>
    <xf numFmtId="10" fontId="4" fillId="3" borderId="0" xfId="0" applyNumberFormat="1" applyFont="1" applyFill="1" applyBorder="1" applyAlignment="1">
      <alignment horizontal="center" vertical="center"/>
    </xf>
    <xf numFmtId="176" fontId="3" fillId="3" borderId="4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10" fontId="9" fillId="4" borderId="6" xfId="0" applyNumberFormat="1" applyFont="1" applyFill="1" applyBorder="1" applyAlignment="1">
      <alignment horizontal="center" vertical="center"/>
    </xf>
    <xf numFmtId="10" fontId="9" fillId="4" borderId="7" xfId="0" applyNumberFormat="1" applyFont="1" applyFill="1" applyBorder="1" applyAlignment="1">
      <alignment horizontal="center" vertical="center"/>
    </xf>
    <xf numFmtId="10" fontId="4" fillId="3" borderId="3" xfId="0" applyNumberFormat="1" applyFont="1" applyFill="1" applyBorder="1" applyAlignment="1">
      <alignment horizontal="center" vertical="center"/>
    </xf>
    <xf numFmtId="10" fontId="4" fillId="3" borderId="6" xfId="0" applyNumberFormat="1" applyFont="1" applyFill="1" applyBorder="1" applyAlignment="1">
      <alignment horizontal="center" vertical="center"/>
    </xf>
    <xf numFmtId="10" fontId="10" fillId="5" borderId="0" xfId="0" applyNumberFormat="1" applyFont="1" applyFill="1" applyAlignment="1">
      <alignment horizontal="center" vertical="center" wrapText="1"/>
    </xf>
    <xf numFmtId="176" fontId="3" fillId="3" borderId="8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10" fontId="9" fillId="5" borderId="6" xfId="0" applyNumberFormat="1" applyFont="1" applyFill="1" applyBorder="1" applyAlignment="1">
      <alignment horizontal="center" vertical="center"/>
    </xf>
    <xf numFmtId="10" fontId="9" fillId="5" borderId="7" xfId="0" applyNumberFormat="1" applyFont="1" applyFill="1" applyBorder="1" applyAlignment="1">
      <alignment horizontal="center" vertical="center"/>
    </xf>
    <xf numFmtId="10" fontId="3" fillId="5" borderId="0" xfId="0" applyNumberFormat="1" applyFont="1" applyFill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176" fontId="3" fillId="3" borderId="9" xfId="0" applyNumberFormat="1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10" fontId="3" fillId="3" borderId="4" xfId="0" applyNumberFormat="1" applyFont="1" applyFill="1" applyBorder="1" applyAlignment="1">
      <alignment horizontal="center" vertical="center"/>
    </xf>
    <xf numFmtId="10" fontId="3" fillId="3" borderId="10" xfId="0" applyNumberFormat="1" applyFont="1" applyFill="1" applyBorder="1" applyAlignment="1">
      <alignment horizontal="center" vertical="center"/>
    </xf>
    <xf numFmtId="176" fontId="11" fillId="3" borderId="4" xfId="0" applyNumberFormat="1" applyFont="1" applyFill="1" applyBorder="1" applyAlignment="1">
      <alignment horizontal="center" vertical="center"/>
    </xf>
    <xf numFmtId="176" fontId="11" fillId="3" borderId="8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76" fontId="11" fillId="3" borderId="9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0" fontId="4" fillId="3" borderId="7" xfId="0" applyNumberFormat="1" applyFont="1" applyFill="1" applyBorder="1" applyAlignment="1">
      <alignment horizontal="center" vertical="center"/>
    </xf>
    <xf numFmtId="10" fontId="4" fillId="3" borderId="4" xfId="0" applyNumberFormat="1" applyFont="1" applyFill="1" applyBorder="1" applyAlignment="1">
      <alignment horizontal="center" vertical="center"/>
    </xf>
    <xf numFmtId="10" fontId="4" fillId="3" borderId="10" xfId="0" applyNumberFormat="1" applyFont="1" applyFill="1" applyBorder="1" applyAlignment="1">
      <alignment horizontal="center" vertical="center"/>
    </xf>
    <xf numFmtId="10" fontId="4" fillId="3" borderId="8" xfId="0" applyNumberFormat="1" applyFont="1" applyFill="1" applyBorder="1" applyAlignment="1">
      <alignment horizontal="center" vertical="center"/>
    </xf>
    <xf numFmtId="10" fontId="4" fillId="3" borderId="11" xfId="0" applyNumberFormat="1" applyFont="1" applyFill="1" applyBorder="1" applyAlignment="1">
      <alignment horizontal="center" vertical="center"/>
    </xf>
    <xf numFmtId="10" fontId="12" fillId="3" borderId="3" xfId="0" applyNumberFormat="1" applyFont="1" applyFill="1" applyBorder="1" applyAlignment="1">
      <alignment horizontal="center" vertical="center"/>
    </xf>
    <xf numFmtId="10" fontId="4" fillId="3" borderId="9" xfId="0" applyNumberFormat="1" applyFont="1" applyFill="1" applyBorder="1" applyAlignment="1">
      <alignment horizontal="center" vertical="center"/>
    </xf>
    <xf numFmtId="10" fontId="4" fillId="3" borderId="12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10" fontId="12" fillId="3" borderId="6" xfId="0" applyNumberFormat="1" applyFont="1" applyFill="1" applyBorder="1" applyAlignment="1">
      <alignment horizontal="center" vertical="center"/>
    </xf>
    <xf numFmtId="10" fontId="12" fillId="3" borderId="7" xfId="0" applyNumberFormat="1" applyFont="1" applyFill="1" applyBorder="1" applyAlignment="1">
      <alignment horizontal="center" vertical="center"/>
    </xf>
    <xf numFmtId="176" fontId="11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NumberFormat="1" applyFont="1" applyFill="1" applyBorder="1" applyAlignment="1" applyProtection="1">
      <alignment horizontal="center" vertical="center"/>
    </xf>
    <xf numFmtId="10" fontId="3" fillId="3" borderId="9" xfId="0" applyNumberFormat="1" applyFont="1" applyFill="1" applyBorder="1" applyAlignment="1">
      <alignment horizontal="center" vertical="center"/>
    </xf>
    <xf numFmtId="10" fontId="3" fillId="3" borderId="12" xfId="0" applyNumberFormat="1" applyFont="1" applyFill="1" applyBorder="1" applyAlignment="1">
      <alignment horizontal="center" vertical="center"/>
    </xf>
    <xf numFmtId="176" fontId="11" fillId="6" borderId="13" xfId="0" applyNumberFormat="1" applyFont="1" applyFill="1" applyBorder="1" applyAlignment="1">
      <alignment horizontal="center" vertical="center"/>
    </xf>
    <xf numFmtId="10" fontId="3" fillId="7" borderId="0" xfId="0" applyNumberFormat="1" applyFont="1" applyFill="1" applyAlignment="1">
      <alignment horizontal="center" vertical="center" wrapText="1"/>
    </xf>
    <xf numFmtId="176" fontId="3" fillId="6" borderId="13" xfId="0" applyNumberFormat="1" applyFont="1" applyFill="1" applyBorder="1" applyAlignment="1">
      <alignment horizontal="center" vertical="center"/>
    </xf>
    <xf numFmtId="176" fontId="11" fillId="6" borderId="14" xfId="0" applyNumberFormat="1" applyFont="1" applyFill="1" applyBorder="1" applyAlignment="1">
      <alignment horizontal="center" vertical="center"/>
    </xf>
    <xf numFmtId="176" fontId="11" fillId="6" borderId="15" xfId="0" applyNumberFormat="1" applyFont="1" applyFill="1" applyBorder="1" applyAlignment="1">
      <alignment horizontal="center" vertical="center"/>
    </xf>
    <xf numFmtId="176" fontId="11" fillId="6" borderId="16" xfId="0" applyNumberFormat="1" applyFont="1" applyFill="1" applyBorder="1" applyAlignment="1">
      <alignment horizontal="center" vertical="center"/>
    </xf>
    <xf numFmtId="10" fontId="3" fillId="7" borderId="0" xfId="0" applyNumberFormat="1" applyFont="1" applyFill="1" applyAlignment="1">
      <alignment vertical="center" wrapText="1"/>
    </xf>
    <xf numFmtId="10" fontId="2" fillId="3" borderId="2" xfId="0" applyNumberFormat="1" applyFont="1" applyFill="1" applyBorder="1"/>
    <xf numFmtId="10" fontId="3" fillId="3" borderId="0" xfId="0" applyNumberFormat="1" applyFont="1" applyFill="1" applyBorder="1" applyAlignment="1">
      <alignment vertical="center"/>
    </xf>
    <xf numFmtId="177" fontId="4" fillId="3" borderId="0" xfId="0" applyNumberFormat="1" applyFont="1" applyFill="1" applyBorder="1" applyAlignment="1">
      <alignment vertical="center"/>
    </xf>
    <xf numFmtId="10" fontId="4" fillId="3" borderId="0" xfId="0" applyNumberFormat="1" applyFont="1" applyFill="1" applyBorder="1" applyAlignment="1">
      <alignment vertical="center"/>
    </xf>
    <xf numFmtId="178" fontId="4" fillId="3" borderId="0" xfId="0" applyNumberFormat="1" applyFont="1" applyFill="1" applyBorder="1" applyAlignment="1">
      <alignment vertical="center"/>
    </xf>
    <xf numFmtId="10" fontId="3" fillId="6" borderId="13" xfId="0" applyNumberFormat="1" applyFont="1" applyFill="1" applyBorder="1" applyAlignment="1">
      <alignment horizontal="center" vertical="center"/>
    </xf>
    <xf numFmtId="177" fontId="3" fillId="6" borderId="13" xfId="0" applyNumberFormat="1" applyFont="1" applyFill="1" applyBorder="1" applyAlignment="1">
      <alignment horizontal="center" vertical="center"/>
    </xf>
    <xf numFmtId="178" fontId="3" fillId="3" borderId="4" xfId="0" applyNumberFormat="1" applyFont="1" applyFill="1" applyBorder="1" applyAlignment="1">
      <alignment horizontal="center" vertical="center"/>
    </xf>
    <xf numFmtId="178" fontId="3" fillId="6" borderId="2" xfId="0" applyNumberFormat="1" applyFont="1" applyFill="1" applyBorder="1" applyAlignment="1">
      <alignment horizontal="center" vertical="center"/>
    </xf>
    <xf numFmtId="10" fontId="12" fillId="3" borderId="6" xfId="0" applyNumberFormat="1" applyFont="1" applyFill="1" applyBorder="1" applyAlignment="1">
      <alignment horizontal="left" vertical="center"/>
    </xf>
    <xf numFmtId="10" fontId="12" fillId="3" borderId="17" xfId="0" applyNumberFormat="1" applyFont="1" applyFill="1" applyBorder="1" applyAlignment="1">
      <alignment horizontal="left" vertical="center"/>
    </xf>
    <xf numFmtId="10" fontId="12" fillId="3" borderId="3" xfId="0" applyNumberFormat="1" applyFont="1" applyFill="1" applyBorder="1" applyAlignment="1">
      <alignment horizontal="left" vertical="center"/>
    </xf>
    <xf numFmtId="10" fontId="4" fillId="3" borderId="6" xfId="0" applyNumberFormat="1" applyFont="1" applyFill="1" applyBorder="1" applyAlignment="1">
      <alignment horizontal="left" vertical="center"/>
    </xf>
    <xf numFmtId="10" fontId="4" fillId="3" borderId="17" xfId="0" applyNumberFormat="1" applyFont="1" applyFill="1" applyBorder="1" applyAlignment="1">
      <alignment horizontal="left" vertical="center"/>
    </xf>
    <xf numFmtId="10" fontId="4" fillId="3" borderId="3" xfId="0" applyNumberFormat="1" applyFont="1" applyFill="1" applyBorder="1" applyAlignment="1">
      <alignment horizontal="left" vertical="center"/>
    </xf>
    <xf numFmtId="10" fontId="4" fillId="3" borderId="18" xfId="0" applyNumberFormat="1" applyFont="1" applyFill="1" applyBorder="1" applyAlignment="1">
      <alignment horizontal="center" vertical="center"/>
    </xf>
    <xf numFmtId="10" fontId="12" fillId="3" borderId="5" xfId="0" applyNumberFormat="1" applyFont="1" applyFill="1" applyBorder="1" applyAlignment="1">
      <alignment horizontal="center" vertical="center"/>
    </xf>
    <xf numFmtId="10" fontId="12" fillId="3" borderId="18" xfId="0" applyNumberFormat="1" applyFont="1" applyFill="1" applyBorder="1" applyAlignment="1">
      <alignment horizontal="center" vertical="center"/>
    </xf>
    <xf numFmtId="10" fontId="12" fillId="3" borderId="2" xfId="0" applyNumberFormat="1" applyFont="1" applyFill="1" applyBorder="1" applyAlignment="1">
      <alignment horizontal="center" vertical="center"/>
    </xf>
    <xf numFmtId="176" fontId="3" fillId="6" borderId="14" xfId="0" applyNumberFormat="1" applyFont="1" applyFill="1" applyBorder="1" applyAlignment="1">
      <alignment horizontal="center" vertical="center"/>
    </xf>
    <xf numFmtId="176" fontId="3" fillId="6" borderId="15" xfId="0" applyNumberFormat="1" applyFont="1" applyFill="1" applyBorder="1" applyAlignment="1">
      <alignment horizontal="center" vertical="center"/>
    </xf>
    <xf numFmtId="10" fontId="3" fillId="3" borderId="5" xfId="0" applyNumberFormat="1" applyFont="1" applyFill="1" applyBorder="1" applyAlignment="1">
      <alignment horizontal="center" vertical="center"/>
    </xf>
    <xf numFmtId="176" fontId="3" fillId="6" borderId="16" xfId="0" applyNumberFormat="1" applyFont="1" applyFill="1" applyBorder="1" applyAlignment="1">
      <alignment horizontal="center" vertical="center"/>
    </xf>
    <xf numFmtId="176" fontId="4" fillId="6" borderId="14" xfId="0" applyNumberFormat="1" applyFont="1" applyFill="1" applyBorder="1" applyAlignment="1">
      <alignment horizontal="center" vertical="center"/>
    </xf>
    <xf numFmtId="176" fontId="4" fillId="6" borderId="15" xfId="0" applyNumberFormat="1" applyFont="1" applyFill="1" applyBorder="1" applyAlignment="1">
      <alignment horizontal="center" vertical="center"/>
    </xf>
    <xf numFmtId="10" fontId="12" fillId="3" borderId="19" xfId="0" applyNumberFormat="1" applyFont="1" applyFill="1" applyBorder="1" applyAlignment="1">
      <alignment horizontal="center" vertical="center"/>
    </xf>
    <xf numFmtId="10" fontId="4" fillId="3" borderId="5" xfId="0" applyNumberFormat="1" applyFont="1" applyFill="1" applyBorder="1" applyAlignment="1">
      <alignment horizontal="center" vertical="center"/>
    </xf>
    <xf numFmtId="10" fontId="4" fillId="3" borderId="20" xfId="0" applyNumberFormat="1" applyFont="1" applyFill="1" applyBorder="1" applyAlignment="1">
      <alignment horizontal="center" vertical="center"/>
    </xf>
    <xf numFmtId="10" fontId="4" fillId="3" borderId="19" xfId="0" applyNumberFormat="1" applyFont="1" applyFill="1" applyBorder="1" applyAlignment="1">
      <alignment horizontal="center" vertical="center"/>
    </xf>
    <xf numFmtId="10" fontId="12" fillId="3" borderId="20" xfId="0" applyNumberFormat="1" applyFont="1" applyFill="1" applyBorder="1" applyAlignment="1">
      <alignment horizontal="center" vertical="center"/>
    </xf>
    <xf numFmtId="10" fontId="3" fillId="3" borderId="19" xfId="0" applyNumberFormat="1" applyFont="1" applyFill="1" applyBorder="1" applyAlignment="1">
      <alignment horizontal="center" vertical="center"/>
    </xf>
    <xf numFmtId="10" fontId="3" fillId="3" borderId="18" xfId="0" applyNumberFormat="1" applyFont="1" applyFill="1" applyBorder="1" applyAlignment="1">
      <alignment horizontal="center" vertical="center"/>
    </xf>
    <xf numFmtId="176" fontId="13" fillId="6" borderId="13" xfId="0" applyNumberFormat="1" applyFont="1" applyFill="1" applyBorder="1" applyAlignment="1">
      <alignment horizontal="center" vertical="center"/>
    </xf>
    <xf numFmtId="176" fontId="13" fillId="6" borderId="14" xfId="0" applyNumberFormat="1" applyFont="1" applyFill="1" applyBorder="1" applyAlignment="1">
      <alignment horizontal="center" vertical="center"/>
    </xf>
    <xf numFmtId="176" fontId="13" fillId="6" borderId="16" xfId="0" applyNumberFormat="1" applyFont="1" applyFill="1" applyBorder="1" applyAlignment="1">
      <alignment horizontal="center" vertical="center"/>
    </xf>
    <xf numFmtId="176" fontId="4" fillId="6" borderId="13" xfId="0" applyNumberFormat="1" applyFont="1" applyFill="1" applyBorder="1" applyAlignment="1">
      <alignment horizontal="center" vertical="center"/>
    </xf>
    <xf numFmtId="176" fontId="4" fillId="6" borderId="16" xfId="0" applyNumberFormat="1" applyFont="1" applyFill="1" applyBorder="1" applyAlignment="1">
      <alignment horizontal="center" vertical="center"/>
    </xf>
    <xf numFmtId="176" fontId="14" fillId="6" borderId="13" xfId="0" applyNumberFormat="1" applyFont="1" applyFill="1" applyBorder="1" applyAlignment="1">
      <alignment horizontal="center" vertical="center"/>
    </xf>
    <xf numFmtId="10" fontId="12" fillId="3" borderId="4" xfId="0" applyNumberFormat="1" applyFont="1" applyFill="1" applyBorder="1" applyAlignment="1">
      <alignment horizontal="center" vertical="center"/>
    </xf>
    <xf numFmtId="10" fontId="12" fillId="3" borderId="9" xfId="0" applyNumberFormat="1" applyFont="1" applyFill="1" applyBorder="1" applyAlignment="1">
      <alignment horizontal="center" vertical="center"/>
    </xf>
    <xf numFmtId="177" fontId="12" fillId="3" borderId="2" xfId="0" applyNumberFormat="1" applyFont="1" applyFill="1" applyBorder="1" applyAlignment="1">
      <alignment horizontal="center" vertical="center"/>
    </xf>
    <xf numFmtId="10" fontId="12" fillId="3" borderId="17" xfId="0" applyNumberFormat="1" applyFont="1" applyFill="1" applyBorder="1" applyAlignment="1">
      <alignment horizontal="center" vertical="center"/>
    </xf>
    <xf numFmtId="0" fontId="9" fillId="3" borderId="0" xfId="0" applyFont="1" applyFill="1"/>
    <xf numFmtId="0" fontId="12" fillId="3" borderId="0" xfId="0" applyFont="1" applyFill="1"/>
    <xf numFmtId="0" fontId="4" fillId="3" borderId="0" xfId="0" applyFont="1" applyFill="1"/>
    <xf numFmtId="176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5" fillId="3" borderId="0" xfId="0" applyFont="1" applyFill="1" applyBorder="1" applyAlignment="1">
      <alignment vertical="center"/>
    </xf>
    <xf numFmtId="0" fontId="16" fillId="4" borderId="21" xfId="0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2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3" borderId="6" xfId="0" applyFont="1" applyFill="1" applyBorder="1" applyAlignment="1">
      <alignment horizontal="left" vertical="center" indent="1"/>
    </xf>
    <xf numFmtId="0" fontId="3" fillId="3" borderId="28" xfId="0" applyFont="1" applyFill="1" applyBorder="1" applyAlignment="1">
      <alignment horizontal="left" vertical="center" indent="1"/>
    </xf>
    <xf numFmtId="0" fontId="3" fillId="3" borderId="3" xfId="0" applyFont="1" applyFill="1" applyBorder="1" applyAlignment="1">
      <alignment horizontal="left" vertical="center" indent="1"/>
    </xf>
    <xf numFmtId="0" fontId="3" fillId="3" borderId="31" xfId="0" applyFont="1" applyFill="1" applyBorder="1" applyAlignment="1">
      <alignment horizontal="left" vertical="center" indent="1"/>
    </xf>
    <xf numFmtId="0" fontId="3" fillId="3" borderId="6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0" fontId="3" fillId="3" borderId="28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10" fontId="11" fillId="3" borderId="6" xfId="0" applyNumberFormat="1" applyFont="1" applyFill="1" applyBorder="1" applyAlignment="1">
      <alignment horizontal="center" vertical="center"/>
    </xf>
    <xf numFmtId="10" fontId="11" fillId="3" borderId="28" xfId="0" applyNumberFormat="1" applyFont="1" applyFill="1" applyBorder="1" applyAlignment="1">
      <alignment horizontal="center" vertical="center"/>
    </xf>
    <xf numFmtId="10" fontId="8" fillId="3" borderId="3" xfId="0" applyNumberFormat="1" applyFont="1" applyFill="1" applyBorder="1" applyAlignment="1">
      <alignment horizontal="center" vertical="center"/>
    </xf>
    <xf numFmtId="10" fontId="8" fillId="3" borderId="2" xfId="0" applyNumberFormat="1" applyFont="1" applyFill="1" applyBorder="1" applyAlignment="1">
      <alignment horizontal="center" vertical="center"/>
    </xf>
    <xf numFmtId="10" fontId="17" fillId="4" borderId="28" xfId="0" applyNumberFormat="1" applyFont="1" applyFill="1" applyBorder="1" applyAlignment="1">
      <alignment horizontal="center" vertical="center"/>
    </xf>
    <xf numFmtId="10" fontId="17" fillId="4" borderId="3" xfId="0" applyNumberFormat="1" applyFont="1" applyFill="1" applyBorder="1" applyAlignment="1">
      <alignment horizontal="center" vertical="center"/>
    </xf>
    <xf numFmtId="10" fontId="17" fillId="4" borderId="2" xfId="0" applyNumberFormat="1" applyFont="1" applyFill="1" applyBorder="1" applyAlignment="1">
      <alignment horizontal="center" vertical="center"/>
    </xf>
    <xf numFmtId="10" fontId="18" fillId="3" borderId="2" xfId="0" applyNumberFormat="1" applyFont="1" applyFill="1" applyBorder="1" applyAlignment="1">
      <alignment horizontal="center" vertical="center"/>
    </xf>
    <xf numFmtId="10" fontId="4" fillId="3" borderId="28" xfId="0" applyNumberFormat="1" applyFont="1" applyFill="1" applyBorder="1" applyAlignment="1">
      <alignment horizontal="center" vertical="center"/>
    </xf>
    <xf numFmtId="10" fontId="11" fillId="3" borderId="3" xfId="0" applyNumberFormat="1" applyFont="1" applyFill="1" applyBorder="1" applyAlignment="1">
      <alignment horizontal="center" vertical="center"/>
    </xf>
    <xf numFmtId="10" fontId="11" fillId="3" borderId="2" xfId="0" applyNumberFormat="1" applyFont="1" applyFill="1" applyBorder="1" applyAlignment="1">
      <alignment horizontal="center" vertical="center"/>
    </xf>
    <xf numFmtId="10" fontId="12" fillId="3" borderId="28" xfId="0" applyNumberFormat="1" applyFont="1" applyFill="1" applyBorder="1" applyAlignment="1">
      <alignment horizontal="center" vertical="center"/>
    </xf>
    <xf numFmtId="10" fontId="9" fillId="4" borderId="28" xfId="0" applyNumberFormat="1" applyFont="1" applyFill="1" applyBorder="1" applyAlignment="1">
      <alignment horizontal="center" vertical="center"/>
    </xf>
    <xf numFmtId="10" fontId="9" fillId="4" borderId="3" xfId="0" applyNumberFormat="1" applyFont="1" applyFill="1" applyBorder="1" applyAlignment="1">
      <alignment horizontal="center" vertical="center"/>
    </xf>
    <xf numFmtId="10" fontId="9" fillId="5" borderId="28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10" fontId="13" fillId="3" borderId="6" xfId="0" applyNumberFormat="1" applyFont="1" applyFill="1" applyBorder="1" applyAlignment="1">
      <alignment horizontal="center" vertical="center"/>
    </xf>
    <xf numFmtId="10" fontId="13" fillId="3" borderId="28" xfId="0" applyNumberFormat="1" applyFont="1" applyFill="1" applyBorder="1" applyAlignment="1">
      <alignment horizontal="center" vertical="center"/>
    </xf>
    <xf numFmtId="176" fontId="18" fillId="3" borderId="2" xfId="0" applyNumberFormat="1" applyFont="1" applyFill="1" applyBorder="1" applyAlignment="1">
      <alignment horizontal="center" vertical="center"/>
    </xf>
    <xf numFmtId="17" fontId="3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10" fontId="3" fillId="3" borderId="17" xfId="0" applyNumberFormat="1" applyFont="1" applyFill="1" applyBorder="1" applyAlignment="1">
      <alignment horizontal="center" vertical="center"/>
    </xf>
    <xf numFmtId="10" fontId="12" fillId="3" borderId="0" xfId="0" applyNumberFormat="1" applyFont="1" applyFill="1" applyBorder="1" applyAlignment="1">
      <alignment horizontal="center" vertical="center"/>
    </xf>
    <xf numFmtId="178" fontId="3" fillId="6" borderId="10" xfId="0" applyNumberFormat="1" applyFont="1" applyFill="1" applyBorder="1" applyAlignment="1">
      <alignment horizontal="center" vertical="center"/>
    </xf>
    <xf numFmtId="178" fontId="3" fillId="6" borderId="34" xfId="0" applyNumberFormat="1" applyFont="1" applyFill="1" applyBorder="1" applyAlignment="1">
      <alignment horizontal="center" vertical="center"/>
    </xf>
    <xf numFmtId="178" fontId="3" fillId="6" borderId="5" xfId="0" applyNumberFormat="1" applyFont="1" applyFill="1" applyBorder="1" applyAlignment="1">
      <alignment horizontal="center" vertical="center"/>
    </xf>
    <xf numFmtId="10" fontId="3" fillId="3" borderId="42" xfId="0" applyNumberFormat="1" applyFont="1" applyFill="1" applyBorder="1" applyAlignment="1">
      <alignment horizontal="center" vertical="center"/>
    </xf>
    <xf numFmtId="177" fontId="4" fillId="3" borderId="42" xfId="0" applyNumberFormat="1" applyFont="1" applyFill="1" applyBorder="1" applyAlignment="1">
      <alignment horizontal="center" vertical="center"/>
    </xf>
    <xf numFmtId="10" fontId="4" fillId="3" borderId="43" xfId="0" applyNumberFormat="1" applyFont="1" applyFill="1" applyBorder="1" applyAlignment="1">
      <alignment horizontal="center" vertical="center"/>
    </xf>
    <xf numFmtId="10" fontId="4" fillId="3" borderId="44" xfId="0" applyNumberFormat="1" applyFont="1" applyFill="1" applyBorder="1" applyAlignment="1">
      <alignment horizontal="center" vertical="center"/>
    </xf>
    <xf numFmtId="10" fontId="4" fillId="3" borderId="45" xfId="0" applyNumberFormat="1" applyFont="1" applyFill="1" applyBorder="1" applyAlignment="1">
      <alignment horizontal="center" vertical="center"/>
    </xf>
    <xf numFmtId="10" fontId="3" fillId="3" borderId="46" xfId="0" applyNumberFormat="1" applyFont="1" applyFill="1" applyBorder="1" applyAlignment="1">
      <alignment horizontal="center" vertical="center"/>
    </xf>
    <xf numFmtId="177" fontId="4" fillId="3" borderId="46" xfId="0" applyNumberFormat="1" applyFont="1" applyFill="1" applyBorder="1" applyAlignment="1">
      <alignment horizontal="center" vertical="center"/>
    </xf>
    <xf numFmtId="10" fontId="4" fillId="3" borderId="46" xfId="0" applyNumberFormat="1" applyFont="1" applyFill="1" applyBorder="1" applyAlignment="1">
      <alignment horizontal="center" vertical="center"/>
    </xf>
    <xf numFmtId="178" fontId="4" fillId="3" borderId="47" xfId="0" applyNumberFormat="1" applyFont="1" applyFill="1" applyBorder="1" applyAlignment="1">
      <alignment horizontal="left" vertical="center" indent="1"/>
    </xf>
    <xf numFmtId="178" fontId="4" fillId="3" borderId="48" xfId="0" applyNumberFormat="1" applyFont="1" applyFill="1" applyBorder="1" applyAlignment="1">
      <alignment horizontal="left" vertical="center" indent="1"/>
    </xf>
    <xf numFmtId="178" fontId="4" fillId="3" borderId="49" xfId="0" applyNumberFormat="1" applyFont="1" applyFill="1" applyBorder="1" applyAlignment="1">
      <alignment horizontal="left" vertical="center" indent="1"/>
    </xf>
    <xf numFmtId="10" fontId="4" fillId="3" borderId="50" xfId="0" applyNumberFormat="1" applyFont="1" applyFill="1" applyBorder="1" applyAlignment="1">
      <alignment horizontal="center" vertical="center"/>
    </xf>
    <xf numFmtId="177" fontId="4" fillId="3" borderId="50" xfId="0" applyNumberFormat="1" applyFont="1" applyFill="1" applyBorder="1" applyAlignment="1">
      <alignment horizontal="center" vertical="center"/>
    </xf>
    <xf numFmtId="10" fontId="4" fillId="3" borderId="42" xfId="0" applyNumberFormat="1" applyFont="1" applyFill="1" applyBorder="1" applyAlignment="1">
      <alignment horizontal="center" vertical="center"/>
    </xf>
    <xf numFmtId="10" fontId="12" fillId="3" borderId="50" xfId="0" applyNumberFormat="1" applyFont="1" applyFill="1" applyBorder="1" applyAlignment="1">
      <alignment horizontal="center" vertical="center"/>
    </xf>
    <xf numFmtId="10" fontId="12" fillId="3" borderId="51" xfId="0" applyNumberFormat="1" applyFont="1" applyFill="1" applyBorder="1" applyAlignment="1">
      <alignment horizontal="center" vertical="center"/>
    </xf>
    <xf numFmtId="177" fontId="4" fillId="3" borderId="51" xfId="0" applyNumberFormat="1" applyFont="1" applyFill="1" applyBorder="1" applyAlignment="1">
      <alignment horizontal="center" vertical="center"/>
    </xf>
    <xf numFmtId="10" fontId="12" fillId="3" borderId="42" xfId="0" applyNumberFormat="1" applyFont="1" applyFill="1" applyBorder="1" applyAlignment="1">
      <alignment horizontal="center" vertical="center"/>
    </xf>
    <xf numFmtId="10" fontId="4" fillId="3" borderId="51" xfId="0" applyNumberFormat="1" applyFont="1" applyFill="1" applyBorder="1" applyAlignment="1">
      <alignment horizontal="center" vertical="center"/>
    </xf>
    <xf numFmtId="10" fontId="12" fillId="3" borderId="46" xfId="0" applyNumberFormat="1" applyFont="1" applyFill="1" applyBorder="1" applyAlignment="1">
      <alignment horizontal="center" vertical="center"/>
    </xf>
    <xf numFmtId="10" fontId="9" fillId="4" borderId="2" xfId="0" applyNumberFormat="1" applyFont="1" applyFill="1" applyBorder="1" applyAlignment="1">
      <alignment horizontal="center" vertical="center"/>
    </xf>
    <xf numFmtId="10" fontId="9" fillId="5" borderId="3" xfId="0" applyNumberFormat="1" applyFont="1" applyFill="1" applyBorder="1" applyAlignment="1">
      <alignment horizontal="center" vertical="center"/>
    </xf>
    <xf numFmtId="10" fontId="9" fillId="5" borderId="2" xfId="0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10" fontId="13" fillId="3" borderId="2" xfId="0" applyNumberFormat="1" applyFont="1" applyFill="1" applyBorder="1" applyAlignment="1">
      <alignment horizontal="center" vertical="center"/>
    </xf>
    <xf numFmtId="176" fontId="2" fillId="3" borderId="9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0" fontId="18" fillId="3" borderId="3" xfId="0" applyNumberFormat="1" applyFont="1" applyFill="1" applyBorder="1" applyAlignment="1">
      <alignment horizontal="center" vertical="center"/>
    </xf>
    <xf numFmtId="10" fontId="4" fillId="3" borderId="2" xfId="0" applyNumberFormat="1" applyFont="1" applyFill="1" applyBorder="1" applyAlignment="1" applyProtection="1">
      <alignment horizontal="center" vertical="center"/>
    </xf>
    <xf numFmtId="10" fontId="10" fillId="3" borderId="52" xfId="0" applyNumberFormat="1" applyFont="1" applyFill="1" applyBorder="1" applyAlignment="1">
      <alignment horizontal="center" vertical="center" wrapText="1"/>
    </xf>
    <xf numFmtId="10" fontId="3" fillId="3" borderId="53" xfId="0" applyNumberFormat="1" applyFont="1" applyFill="1" applyBorder="1" applyAlignment="1">
      <alignment horizontal="center" vertical="center"/>
    </xf>
    <xf numFmtId="10" fontId="3" fillId="3" borderId="54" xfId="0" applyNumberFormat="1" applyFont="1" applyFill="1" applyBorder="1" applyAlignment="1">
      <alignment horizontal="center" vertical="center"/>
    </xf>
    <xf numFmtId="10" fontId="3" fillId="3" borderId="55" xfId="0" applyNumberFormat="1" applyFont="1" applyFill="1" applyBorder="1" applyAlignment="1">
      <alignment horizontal="center" vertical="center"/>
    </xf>
    <xf numFmtId="10" fontId="3" fillId="3" borderId="56" xfId="0" applyNumberFormat="1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10" fontId="17" fillId="4" borderId="6" xfId="0" applyNumberFormat="1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10" fontId="17" fillId="5" borderId="6" xfId="0" applyNumberFormat="1" applyFont="1" applyFill="1" applyBorder="1" applyAlignment="1">
      <alignment horizontal="center" vertical="center"/>
    </xf>
    <xf numFmtId="10" fontId="17" fillId="5" borderId="28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0" fontId="8" fillId="3" borderId="6" xfId="0" applyNumberFormat="1" applyFont="1" applyFill="1" applyBorder="1" applyAlignment="1">
      <alignment horizontal="center" vertical="center"/>
    </xf>
    <xf numFmtId="10" fontId="8" fillId="3" borderId="28" xfId="0" applyNumberFormat="1" applyFont="1" applyFill="1" applyBorder="1" applyAlignment="1">
      <alignment horizontal="center" vertical="center"/>
    </xf>
    <xf numFmtId="10" fontId="13" fillId="3" borderId="3" xfId="0" applyNumberFormat="1" applyFont="1" applyFill="1" applyBorder="1" applyAlignment="1">
      <alignment horizontal="center" vertical="center"/>
    </xf>
    <xf numFmtId="10" fontId="11" fillId="3" borderId="6" xfId="0" applyNumberFormat="1" applyFont="1" applyFill="1" applyBorder="1" applyAlignment="1" applyProtection="1">
      <alignment horizontal="center" vertical="center"/>
    </xf>
    <xf numFmtId="10" fontId="12" fillId="3" borderId="6" xfId="0" applyNumberFormat="1" applyFont="1" applyFill="1" applyBorder="1" applyAlignment="1" applyProtection="1">
      <alignment horizontal="center" vertical="center"/>
    </xf>
    <xf numFmtId="10" fontId="4" fillId="3" borderId="6" xfId="0" applyNumberFormat="1" applyFont="1" applyFill="1" applyBorder="1" applyAlignment="1" applyProtection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2" xfId="0" applyNumberFormat="1" applyFont="1" applyFill="1" applyBorder="1" applyAlignment="1" applyProtection="1">
      <alignment horizontal="center" vertical="center"/>
    </xf>
    <xf numFmtId="176" fontId="14" fillId="6" borderId="14" xfId="0" applyNumberFormat="1" applyFont="1" applyFill="1" applyBorder="1" applyAlignment="1">
      <alignment horizontal="center" vertical="center"/>
    </xf>
    <xf numFmtId="176" fontId="14" fillId="6" borderId="15" xfId="0" applyNumberFormat="1" applyFont="1" applyFill="1" applyBorder="1" applyAlignment="1">
      <alignment horizontal="center" vertical="center"/>
    </xf>
    <xf numFmtId="176" fontId="14" fillId="6" borderId="16" xfId="0" applyNumberFormat="1" applyFont="1" applyFill="1" applyBorder="1" applyAlignment="1">
      <alignment horizontal="center" vertical="center"/>
    </xf>
    <xf numFmtId="10" fontId="10" fillId="3" borderId="21" xfId="0" applyNumberFormat="1" applyFont="1" applyFill="1" applyBorder="1" applyAlignment="1">
      <alignment horizontal="center" vertical="center" wrapText="1"/>
    </xf>
    <xf numFmtId="10" fontId="3" fillId="3" borderId="22" xfId="0" applyNumberFormat="1" applyFont="1" applyFill="1" applyBorder="1" applyAlignment="1">
      <alignment horizontal="center" vertical="center"/>
    </xf>
    <xf numFmtId="10" fontId="3" fillId="3" borderId="24" xfId="0" applyNumberFormat="1" applyFont="1" applyFill="1" applyBorder="1" applyAlignment="1">
      <alignment horizontal="center" vertical="center"/>
    </xf>
    <xf numFmtId="10" fontId="3" fillId="3" borderId="25" xfId="0" applyNumberFormat="1" applyFont="1" applyFill="1" applyBorder="1" applyAlignment="1">
      <alignment horizontal="center" vertical="center"/>
    </xf>
    <xf numFmtId="10" fontId="3" fillId="3" borderId="26" xfId="0" applyNumberFormat="1" applyFont="1" applyFill="1" applyBorder="1" applyAlignment="1">
      <alignment horizontal="center" vertical="center"/>
    </xf>
    <xf numFmtId="10" fontId="3" fillId="3" borderId="8" xfId="0" applyNumberFormat="1" applyFont="1" applyFill="1" applyBorder="1" applyAlignment="1">
      <alignment horizontal="center" vertical="center"/>
    </xf>
    <xf numFmtId="10" fontId="3" fillId="3" borderId="11" xfId="0" applyNumberFormat="1" applyFont="1" applyFill="1" applyBorder="1" applyAlignment="1">
      <alignment horizontal="center" vertical="center"/>
    </xf>
    <xf numFmtId="10" fontId="12" fillId="3" borderId="10" xfId="0" applyNumberFormat="1" applyFont="1" applyFill="1" applyBorder="1" applyAlignment="1">
      <alignment horizontal="center" vertical="center"/>
    </xf>
    <xf numFmtId="10" fontId="12" fillId="3" borderId="12" xfId="0" applyNumberFormat="1" applyFont="1" applyFill="1" applyBorder="1" applyAlignment="1">
      <alignment horizontal="center" vertical="center"/>
    </xf>
    <xf numFmtId="10" fontId="3" fillId="3" borderId="57" xfId="0" applyNumberFormat="1" applyFont="1" applyFill="1" applyBorder="1" applyAlignment="1">
      <alignment horizontal="center" vertical="center"/>
    </xf>
    <xf numFmtId="10" fontId="3" fillId="3" borderId="58" xfId="0" applyNumberFormat="1" applyFont="1" applyFill="1" applyBorder="1" applyAlignment="1">
      <alignment horizontal="center" vertical="center"/>
    </xf>
    <xf numFmtId="10" fontId="3" fillId="3" borderId="59" xfId="0" applyNumberFormat="1" applyFont="1" applyFill="1" applyBorder="1" applyAlignment="1">
      <alignment horizontal="center" vertical="center"/>
    </xf>
    <xf numFmtId="10" fontId="12" fillId="3" borderId="8" xfId="0" applyNumberFormat="1" applyFont="1" applyFill="1" applyBorder="1" applyAlignment="1">
      <alignment horizontal="center" vertical="center"/>
    </xf>
    <xf numFmtId="10" fontId="4" fillId="3" borderId="43" xfId="0" applyNumberFormat="1" applyFont="1" applyFill="1" applyBorder="1" applyAlignment="1">
      <alignment horizontal="left" vertical="center" indent="1"/>
    </xf>
    <xf numFmtId="10" fontId="4" fillId="3" borderId="44" xfId="0" applyNumberFormat="1" applyFont="1" applyFill="1" applyBorder="1" applyAlignment="1">
      <alignment horizontal="left" vertical="center" indent="1"/>
    </xf>
    <xf numFmtId="10" fontId="4" fillId="3" borderId="45" xfId="0" applyNumberFormat="1" applyFont="1" applyFill="1" applyBorder="1" applyAlignment="1">
      <alignment horizontal="left" vertical="center" indent="1"/>
    </xf>
    <xf numFmtId="10" fontId="4" fillId="3" borderId="47" xfId="0" applyNumberFormat="1" applyFont="1" applyFill="1" applyBorder="1" applyAlignment="1">
      <alignment horizontal="left" vertical="center" indent="1"/>
    </xf>
    <xf numFmtId="10" fontId="4" fillId="3" borderId="48" xfId="0" applyNumberFormat="1" applyFont="1" applyFill="1" applyBorder="1" applyAlignment="1">
      <alignment horizontal="left" vertical="center" indent="1"/>
    </xf>
    <xf numFmtId="10" fontId="4" fillId="3" borderId="49" xfId="0" applyNumberFormat="1" applyFont="1" applyFill="1" applyBorder="1" applyAlignment="1">
      <alignment horizontal="left" vertical="center" indent="1"/>
    </xf>
    <xf numFmtId="178" fontId="12" fillId="3" borderId="6" xfId="0" applyNumberFormat="1" applyFont="1" applyFill="1" applyBorder="1" applyAlignment="1">
      <alignment horizontal="left" vertical="center" indent="1"/>
    </xf>
    <xf numFmtId="178" fontId="12" fillId="3" borderId="17" xfId="0" applyNumberFormat="1" applyFont="1" applyFill="1" applyBorder="1" applyAlignment="1">
      <alignment horizontal="left" vertical="center" indent="1"/>
    </xf>
    <xf numFmtId="178" fontId="12" fillId="3" borderId="3" xfId="0" applyNumberFormat="1" applyFont="1" applyFill="1" applyBorder="1" applyAlignment="1">
      <alignment horizontal="left" vertical="center" indent="1"/>
    </xf>
    <xf numFmtId="178" fontId="4" fillId="3" borderId="6" xfId="0" applyNumberFormat="1" applyFont="1" applyFill="1" applyBorder="1" applyAlignment="1">
      <alignment horizontal="left" vertical="center" indent="1"/>
    </xf>
    <xf numFmtId="178" fontId="4" fillId="3" borderId="17" xfId="0" applyNumberFormat="1" applyFont="1" applyFill="1" applyBorder="1" applyAlignment="1">
      <alignment horizontal="left" vertical="center" indent="1"/>
    </xf>
    <xf numFmtId="178" fontId="4" fillId="3" borderId="3" xfId="0" applyNumberFormat="1" applyFont="1" applyFill="1" applyBorder="1" applyAlignment="1">
      <alignment horizontal="left" vertical="center" indent="1"/>
    </xf>
    <xf numFmtId="10" fontId="11" fillId="3" borderId="3" xfId="0" applyNumberFormat="1" applyFont="1" applyFill="1" applyBorder="1" applyAlignment="1" applyProtection="1">
      <alignment horizontal="center" vertical="center"/>
    </xf>
    <xf numFmtId="10" fontId="8" fillId="3" borderId="28" xfId="0" applyNumberFormat="1" applyFont="1" applyFill="1" applyBorder="1" applyAlignment="1" applyProtection="1">
      <alignment horizontal="center" vertical="center"/>
    </xf>
    <xf numFmtId="10" fontId="13" fillId="3" borderId="2" xfId="0" applyNumberFormat="1" applyFont="1" applyFill="1" applyBorder="1" applyAlignment="1" applyProtection="1">
      <alignment horizontal="center" vertical="center"/>
    </xf>
    <xf numFmtId="10" fontId="8" fillId="3" borderId="0" xfId="0" applyNumberFormat="1" applyFont="1" applyFill="1" applyAlignment="1">
      <alignment horizontal="center" vertical="center"/>
    </xf>
    <xf numFmtId="176" fontId="3" fillId="6" borderId="14" xfId="0" applyNumberFormat="1" applyFont="1" applyFill="1" applyBorder="1" applyAlignment="1">
      <alignment horizontal="center" vertical="center"/>
    </xf>
    <xf numFmtId="176" fontId="3" fillId="6" borderId="16" xfId="0" applyNumberFormat="1" applyFont="1" applyFill="1" applyBorder="1" applyAlignment="1">
      <alignment horizontal="center" vertical="center"/>
    </xf>
    <xf numFmtId="176" fontId="12" fillId="3" borderId="13" xfId="0" applyNumberFormat="1" applyFont="1" applyFill="1" applyBorder="1" applyAlignment="1">
      <alignment horizontal="center" vertical="center"/>
    </xf>
    <xf numFmtId="176" fontId="3" fillId="6" borderId="15" xfId="0" applyNumberFormat="1" applyFont="1" applyFill="1" applyBorder="1" applyAlignment="1">
      <alignment horizontal="center" vertical="center"/>
    </xf>
    <xf numFmtId="176" fontId="8" fillId="3" borderId="13" xfId="0" applyNumberFormat="1" applyFont="1" applyFill="1" applyBorder="1" applyAlignment="1">
      <alignment horizontal="center" vertical="center"/>
    </xf>
    <xf numFmtId="176" fontId="11" fillId="3" borderId="13" xfId="0" applyNumberFormat="1" applyFont="1" applyFill="1" applyBorder="1" applyAlignment="1">
      <alignment horizontal="center" vertical="center"/>
    </xf>
    <xf numFmtId="176" fontId="3" fillId="3" borderId="13" xfId="0" applyNumberFormat="1" applyFont="1" applyFill="1" applyBorder="1" applyAlignment="1">
      <alignment horizontal="center" vertical="center"/>
    </xf>
    <xf numFmtId="176" fontId="4" fillId="3" borderId="13" xfId="0" applyNumberFormat="1" applyFont="1" applyFill="1" applyBorder="1" applyAlignment="1">
      <alignment horizontal="center" vertical="center"/>
    </xf>
    <xf numFmtId="0" fontId="11" fillId="3" borderId="3" xfId="0" applyNumberFormat="1" applyFont="1" applyFill="1" applyBorder="1" applyAlignment="1" applyProtection="1">
      <alignment horizontal="center" vertical="center"/>
    </xf>
    <xf numFmtId="10" fontId="11" fillId="3" borderId="2" xfId="0" applyNumberFormat="1" applyFont="1" applyFill="1" applyBorder="1" applyAlignment="1" applyProtection="1">
      <alignment horizontal="center" vertical="center"/>
    </xf>
    <xf numFmtId="10" fontId="11" fillId="3" borderId="28" xfId="0" applyNumberFormat="1" applyFont="1" applyFill="1" applyBorder="1" applyAlignment="1" applyProtection="1">
      <alignment horizontal="center" vertical="center"/>
    </xf>
    <xf numFmtId="176" fontId="4" fillId="6" borderId="14" xfId="0" applyNumberFormat="1" applyFont="1" applyFill="1" applyBorder="1" applyAlignment="1">
      <alignment horizontal="center" vertical="center"/>
    </xf>
    <xf numFmtId="176" fontId="4" fillId="6" borderId="16" xfId="0" applyNumberFormat="1" applyFont="1" applyFill="1" applyBorder="1" applyAlignment="1">
      <alignment horizontal="center" vertical="center"/>
    </xf>
    <xf numFmtId="10" fontId="12" fillId="3" borderId="4" xfId="0" applyNumberFormat="1" applyFont="1" applyFill="1" applyBorder="1" applyAlignment="1">
      <alignment horizontal="center" vertical="center"/>
    </xf>
    <xf numFmtId="10" fontId="3" fillId="3" borderId="4" xfId="0" applyNumberFormat="1" applyFont="1" applyFill="1" applyBorder="1" applyAlignment="1">
      <alignment horizontal="center" vertical="center"/>
    </xf>
    <xf numFmtId="10" fontId="3" fillId="3" borderId="10" xfId="0" applyNumberFormat="1" applyFont="1" applyFill="1" applyBorder="1" applyAlignment="1">
      <alignment horizontal="center" vertical="center"/>
    </xf>
    <xf numFmtId="10" fontId="12" fillId="3" borderId="8" xfId="0" applyNumberFormat="1" applyFont="1" applyFill="1" applyBorder="1" applyAlignment="1">
      <alignment horizontal="center" vertical="center"/>
    </xf>
    <xf numFmtId="10" fontId="3" fillId="3" borderId="8" xfId="0" applyNumberFormat="1" applyFont="1" applyFill="1" applyBorder="1" applyAlignment="1">
      <alignment horizontal="center" vertical="center"/>
    </xf>
    <xf numFmtId="10" fontId="3" fillId="3" borderId="11" xfId="0" applyNumberFormat="1" applyFont="1" applyFill="1" applyBorder="1" applyAlignment="1">
      <alignment horizontal="center" vertical="center"/>
    </xf>
    <xf numFmtId="10" fontId="12" fillId="3" borderId="9" xfId="0" applyNumberFormat="1" applyFont="1" applyFill="1" applyBorder="1" applyAlignment="1">
      <alignment horizontal="center" vertical="center"/>
    </xf>
    <xf numFmtId="10" fontId="3" fillId="3" borderId="9" xfId="0" applyNumberFormat="1" applyFont="1" applyFill="1" applyBorder="1" applyAlignment="1">
      <alignment horizontal="center" vertical="center"/>
    </xf>
    <xf numFmtId="10" fontId="3" fillId="3" borderId="12" xfId="0" applyNumberFormat="1" applyFont="1" applyFill="1" applyBorder="1" applyAlignment="1">
      <alignment horizontal="center" vertical="center"/>
    </xf>
    <xf numFmtId="10" fontId="4" fillId="3" borderId="4" xfId="0" applyNumberFormat="1" applyFont="1" applyFill="1" applyBorder="1" applyAlignment="1">
      <alignment horizontal="center" vertical="center"/>
    </xf>
    <xf numFmtId="10" fontId="4" fillId="3" borderId="47" xfId="0" applyNumberFormat="1" applyFont="1" applyFill="1" applyBorder="1" applyAlignment="1">
      <alignment horizontal="center" vertical="center"/>
    </xf>
    <xf numFmtId="10" fontId="4" fillId="3" borderId="48" xfId="0" applyNumberFormat="1" applyFont="1" applyFill="1" applyBorder="1" applyAlignment="1">
      <alignment horizontal="center" vertical="center"/>
    </xf>
    <xf numFmtId="10" fontId="4" fillId="3" borderId="49" xfId="0" applyNumberFormat="1" applyFont="1" applyFill="1" applyBorder="1" applyAlignment="1">
      <alignment horizontal="center" vertical="center"/>
    </xf>
    <xf numFmtId="10" fontId="12" fillId="3" borderId="50" xfId="0" applyNumberFormat="1" applyFont="1" applyFill="1" applyBorder="1" applyAlignment="1">
      <alignment horizontal="center" vertical="center"/>
    </xf>
    <xf numFmtId="177" fontId="4" fillId="3" borderId="4" xfId="0" applyNumberFormat="1" applyFont="1" applyFill="1" applyBorder="1" applyAlignment="1">
      <alignment horizontal="center" vertical="center"/>
    </xf>
    <xf numFmtId="10" fontId="12" fillId="3" borderId="42" xfId="0" applyNumberFormat="1" applyFont="1" applyFill="1" applyBorder="1" applyAlignment="1">
      <alignment horizontal="center" vertical="center"/>
    </xf>
    <xf numFmtId="177" fontId="4" fillId="3" borderId="9" xfId="0" applyNumberFormat="1" applyFont="1" applyFill="1" applyBorder="1" applyAlignment="1">
      <alignment horizontal="center" vertical="center"/>
    </xf>
    <xf numFmtId="10" fontId="4" fillId="3" borderId="50" xfId="0" applyNumberFormat="1" applyFont="1" applyFill="1" applyBorder="1" applyAlignment="1">
      <alignment horizontal="center" vertical="center"/>
    </xf>
    <xf numFmtId="10" fontId="4" fillId="3" borderId="51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10" fontId="4" fillId="3" borderId="42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10" fontId="4" fillId="3" borderId="9" xfId="0" applyNumberFormat="1" applyFont="1" applyFill="1" applyBorder="1" applyAlignment="1">
      <alignment horizontal="center" vertical="center"/>
    </xf>
    <xf numFmtId="176" fontId="3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79" fontId="3" fillId="6" borderId="0" xfId="0" applyNumberFormat="1" applyFont="1" applyFill="1" applyAlignment="1">
      <alignment horizontal="center" vertical="center"/>
    </xf>
    <xf numFmtId="180" fontId="3" fillId="6" borderId="0" xfId="0" applyNumberFormat="1" applyFont="1" applyFill="1" applyAlignment="1">
      <alignment horizontal="center" vertical="center"/>
    </xf>
    <xf numFmtId="181" fontId="3" fillId="6" borderId="0" xfId="0" applyNumberFormat="1" applyFont="1" applyFill="1" applyAlignment="1">
      <alignment horizontal="center" vertical="center"/>
    </xf>
    <xf numFmtId="180" fontId="3" fillId="6" borderId="60" xfId="0" applyNumberFormat="1" applyFont="1" applyFill="1" applyBorder="1" applyAlignment="1">
      <alignment horizontal="center" vertical="center"/>
    </xf>
    <xf numFmtId="0" fontId="3" fillId="6" borderId="60" xfId="0" applyFont="1" applyFill="1" applyBorder="1" applyAlignment="1">
      <alignment horizontal="center" vertical="center"/>
    </xf>
    <xf numFmtId="10" fontId="3" fillId="6" borderId="0" xfId="0" applyNumberFormat="1" applyFont="1" applyFill="1" applyAlignment="1">
      <alignment horizontal="center" vertical="center"/>
    </xf>
    <xf numFmtId="182" fontId="3" fillId="6" borderId="60" xfId="0" applyNumberFormat="1" applyFont="1" applyFill="1" applyBorder="1" applyAlignment="1">
      <alignment horizontal="center" vertical="center"/>
    </xf>
    <xf numFmtId="178" fontId="3" fillId="6" borderId="0" xfId="0" applyNumberFormat="1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180" fontId="3" fillId="6" borderId="2" xfId="0" applyNumberFormat="1" applyFont="1" applyFill="1" applyBorder="1" applyAlignment="1">
      <alignment horizontal="center" vertical="center"/>
    </xf>
    <xf numFmtId="179" fontId="3" fillId="6" borderId="2" xfId="0" applyNumberFormat="1" applyFont="1" applyFill="1" applyBorder="1" applyAlignment="1">
      <alignment horizontal="center" vertical="center"/>
    </xf>
    <xf numFmtId="183" fontId="4" fillId="6" borderId="2" xfId="0" applyNumberFormat="1" applyFont="1" applyFill="1" applyBorder="1" applyAlignment="1">
      <alignment horizontal="center" vertical="center"/>
    </xf>
    <xf numFmtId="179" fontId="4" fillId="6" borderId="2" xfId="0" applyNumberFormat="1" applyFont="1" applyFill="1" applyBorder="1" applyAlignment="1">
      <alignment horizontal="center" vertical="center"/>
    </xf>
    <xf numFmtId="180" fontId="4" fillId="6" borderId="2" xfId="0" applyNumberFormat="1" applyFont="1" applyFill="1" applyBorder="1" applyAlignment="1">
      <alignment horizontal="center" vertical="center"/>
    </xf>
    <xf numFmtId="180" fontId="14" fillId="6" borderId="2" xfId="0" applyNumberFormat="1" applyFont="1" applyFill="1" applyBorder="1" applyAlignment="1">
      <alignment horizontal="center" vertical="center"/>
    </xf>
    <xf numFmtId="183" fontId="4" fillId="6" borderId="61" xfId="0" applyNumberFormat="1" applyFont="1" applyFill="1" applyBorder="1" applyAlignment="1">
      <alignment horizontal="center" vertical="center"/>
    </xf>
    <xf numFmtId="180" fontId="3" fillId="6" borderId="61" xfId="0" applyNumberFormat="1" applyFont="1" applyFill="1" applyBorder="1" applyAlignment="1">
      <alignment horizontal="center" vertical="center"/>
    </xf>
    <xf numFmtId="179" fontId="3" fillId="6" borderId="61" xfId="0" applyNumberFormat="1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179" fontId="3" fillId="6" borderId="13" xfId="0" applyNumberFormat="1" applyFont="1" applyFill="1" applyBorder="1" applyAlignment="1">
      <alignment horizontal="center" vertical="center"/>
    </xf>
    <xf numFmtId="180" fontId="3" fillId="6" borderId="13" xfId="0" applyNumberFormat="1" applyFont="1" applyFill="1" applyBorder="1" applyAlignment="1">
      <alignment horizontal="center" vertical="center"/>
    </xf>
    <xf numFmtId="181" fontId="3" fillId="6" borderId="13" xfId="0" applyNumberFormat="1" applyFont="1" applyFill="1" applyBorder="1" applyAlignment="1">
      <alignment horizontal="center" vertical="center"/>
    </xf>
    <xf numFmtId="180" fontId="4" fillId="6" borderId="13" xfId="0" applyNumberFormat="1" applyFont="1" applyFill="1" applyBorder="1" applyAlignment="1">
      <alignment horizontal="center" vertical="center"/>
    </xf>
    <xf numFmtId="181" fontId="4" fillId="6" borderId="13" xfId="0" applyNumberFormat="1" applyFont="1" applyFill="1" applyBorder="1" applyAlignment="1">
      <alignment horizontal="center" vertical="center"/>
    </xf>
    <xf numFmtId="182" fontId="3" fillId="6" borderId="13" xfId="0" applyNumberFormat="1" applyFont="1" applyFill="1" applyBorder="1" applyAlignment="1">
      <alignment horizontal="center" vertical="center"/>
    </xf>
    <xf numFmtId="10" fontId="4" fillId="6" borderId="13" xfId="0" applyNumberFormat="1" applyFont="1" applyFill="1" applyBorder="1" applyAlignment="1">
      <alignment horizontal="center" vertical="center"/>
    </xf>
    <xf numFmtId="182" fontId="4" fillId="6" borderId="13" xfId="0" applyNumberFormat="1" applyFont="1" applyFill="1" applyBorder="1" applyAlignment="1">
      <alignment horizontal="center" vertical="center"/>
    </xf>
    <xf numFmtId="10" fontId="4" fillId="6" borderId="13" xfId="0" applyNumberFormat="1" applyFont="1" applyFill="1" applyBorder="1" applyAlignment="1">
      <alignment horizontal="center"/>
    </xf>
    <xf numFmtId="180" fontId="12" fillId="6" borderId="13" xfId="0" applyNumberFormat="1" applyFont="1" applyFill="1" applyBorder="1" applyAlignment="1">
      <alignment horizontal="center" vertical="center"/>
    </xf>
    <xf numFmtId="10" fontId="12" fillId="6" borderId="13" xfId="0" applyNumberFormat="1" applyFont="1" applyFill="1" applyBorder="1" applyAlignment="1">
      <alignment horizontal="center"/>
    </xf>
    <xf numFmtId="10" fontId="12" fillId="6" borderId="13" xfId="0" applyNumberFormat="1" applyFont="1" applyFill="1" applyBorder="1" applyAlignment="1">
      <alignment horizontal="center" vertical="center"/>
    </xf>
    <xf numFmtId="182" fontId="12" fillId="6" borderId="13" xfId="0" applyNumberFormat="1" applyFont="1" applyFill="1" applyBorder="1" applyAlignment="1">
      <alignment horizontal="center" vertical="center"/>
    </xf>
    <xf numFmtId="180" fontId="19" fillId="6" borderId="13" xfId="0" applyNumberFormat="1" applyFont="1" applyFill="1" applyBorder="1" applyAlignment="1">
      <alignment horizontal="center" vertical="center"/>
    </xf>
    <xf numFmtId="10" fontId="19" fillId="6" borderId="13" xfId="0" applyNumberFormat="1" applyFont="1" applyFill="1" applyBorder="1" applyAlignment="1">
      <alignment horizontal="center" vertical="center"/>
    </xf>
    <xf numFmtId="182" fontId="19" fillId="6" borderId="13" xfId="0" applyNumberFormat="1" applyFont="1" applyFill="1" applyBorder="1" applyAlignment="1">
      <alignment horizontal="center" vertical="center"/>
    </xf>
    <xf numFmtId="184" fontId="12" fillId="6" borderId="13" xfId="0" applyNumberFormat="1" applyFont="1" applyFill="1" applyBorder="1" applyAlignment="1">
      <alignment horizontal="center" vertical="center"/>
    </xf>
    <xf numFmtId="178" fontId="3" fillId="6" borderId="13" xfId="0" applyNumberFormat="1" applyFont="1" applyFill="1" applyBorder="1" applyAlignment="1">
      <alignment horizontal="center" vertical="center"/>
    </xf>
    <xf numFmtId="178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183" fontId="3" fillId="6" borderId="0" xfId="0" applyNumberFormat="1" applyFont="1" applyFill="1" applyAlignment="1">
      <alignment horizontal="center" vertical="center"/>
    </xf>
    <xf numFmtId="178" fontId="12" fillId="6" borderId="13" xfId="0" applyNumberFormat="1" applyFont="1" applyFill="1" applyBorder="1" applyAlignment="1">
      <alignment horizontal="center" vertical="center"/>
    </xf>
    <xf numFmtId="180" fontId="3" fillId="6" borderId="0" xfId="0" applyNumberFormat="1" applyFont="1" applyFill="1" applyBorder="1" applyAlignment="1">
      <alignment horizontal="center" vertical="center"/>
    </xf>
    <xf numFmtId="183" fontId="4" fillId="6" borderId="0" xfId="0" applyNumberFormat="1" applyFont="1" applyFill="1" applyBorder="1" applyAlignment="1">
      <alignment horizontal="center" vertical="center"/>
    </xf>
    <xf numFmtId="183" fontId="3" fillId="6" borderId="0" xfId="0" applyNumberFormat="1" applyFont="1" applyFill="1" applyBorder="1" applyAlignment="1">
      <alignment horizontal="center" vertical="center"/>
    </xf>
    <xf numFmtId="182" fontId="4" fillId="6" borderId="0" xfId="0" applyNumberFormat="1" applyFont="1" applyFill="1" applyAlignment="1">
      <alignment horizontal="center" vertical="center"/>
    </xf>
    <xf numFmtId="180" fontId="4" fillId="6" borderId="0" xfId="0" applyNumberFormat="1" applyFont="1" applyFill="1" applyAlignment="1">
      <alignment horizontal="center" vertical="center"/>
    </xf>
    <xf numFmtId="179" fontId="3" fillId="6" borderId="0" xfId="0" applyNumberFormat="1" applyFont="1" applyFill="1" applyBorder="1" applyAlignment="1">
      <alignment horizontal="center" vertical="center"/>
    </xf>
    <xf numFmtId="179" fontId="4" fillId="6" borderId="0" xfId="0" applyNumberFormat="1" applyFont="1" applyFill="1" applyBorder="1" applyAlignment="1">
      <alignment horizontal="center" vertical="center"/>
    </xf>
    <xf numFmtId="180" fontId="4" fillId="6" borderId="0" xfId="0" applyNumberFormat="1" applyFont="1" applyFill="1" applyBorder="1" applyAlignment="1">
      <alignment horizontal="center" vertical="center"/>
    </xf>
    <xf numFmtId="180" fontId="13" fillId="6" borderId="13" xfId="0" applyNumberFormat="1" applyFont="1" applyFill="1" applyBorder="1" applyAlignment="1">
      <alignment horizontal="center" vertical="center"/>
    </xf>
    <xf numFmtId="10" fontId="13" fillId="6" borderId="13" xfId="0" applyNumberFormat="1" applyFont="1" applyFill="1" applyBorder="1" applyAlignment="1">
      <alignment horizontal="center" vertical="center"/>
    </xf>
    <xf numFmtId="182" fontId="13" fillId="6" borderId="13" xfId="0" applyNumberFormat="1" applyFont="1" applyFill="1" applyBorder="1" applyAlignment="1">
      <alignment horizontal="center" vertical="center"/>
    </xf>
    <xf numFmtId="10" fontId="12" fillId="6" borderId="13" xfId="0" applyNumberFormat="1" applyFont="1" applyFill="1" applyBorder="1" applyAlignment="1" applyProtection="1">
      <alignment horizontal="center" vertical="center"/>
    </xf>
    <xf numFmtId="182" fontId="3" fillId="6" borderId="0" xfId="0" applyNumberFormat="1" applyFont="1" applyFill="1" applyAlignment="1">
      <alignment horizontal="center" vertical="center"/>
    </xf>
    <xf numFmtId="0" fontId="19" fillId="6" borderId="13" xfId="0" applyFont="1" applyFill="1" applyBorder="1" applyAlignment="1">
      <alignment horizontal="center" vertical="center"/>
    </xf>
    <xf numFmtId="0" fontId="20" fillId="8" borderId="0" xfId="0" applyFont="1" applyFill="1"/>
    <xf numFmtId="0" fontId="20" fillId="8" borderId="0" xfId="0" applyFont="1" applyFill="1" applyAlignment="1">
      <alignment horizontal="center"/>
    </xf>
    <xf numFmtId="0" fontId="21" fillId="8" borderId="0" xfId="0" applyFont="1" applyFill="1" applyAlignment="1">
      <alignment horizontal="left"/>
    </xf>
    <xf numFmtId="0" fontId="21" fillId="8" borderId="0" xfId="0" applyFont="1" applyFill="1"/>
    <xf numFmtId="0" fontId="20" fillId="8" borderId="13" xfId="0" applyFont="1" applyFill="1" applyBorder="1" applyAlignment="1">
      <alignment horizontal="center" vertical="center"/>
    </xf>
    <xf numFmtId="0" fontId="20" fillId="8" borderId="14" xfId="0" applyFont="1" applyFill="1" applyBorder="1" applyAlignment="1">
      <alignment horizontal="center" vertical="center"/>
    </xf>
    <xf numFmtId="0" fontId="20" fillId="8" borderId="13" xfId="0" applyFont="1" applyFill="1" applyBorder="1" applyAlignment="1">
      <alignment horizontal="left" vertical="center"/>
    </xf>
    <xf numFmtId="0" fontId="20" fillId="8" borderId="15" xfId="0" applyFont="1" applyFill="1" applyBorder="1" applyAlignment="1">
      <alignment horizontal="center" vertical="center"/>
    </xf>
    <xf numFmtId="0" fontId="20" fillId="8" borderId="13" xfId="0" applyFont="1" applyFill="1" applyBorder="1" applyAlignment="1">
      <alignment horizontal="left"/>
    </xf>
    <xf numFmtId="0" fontId="20" fillId="8" borderId="13" xfId="0" applyFont="1" applyFill="1" applyBorder="1" applyAlignment="1">
      <alignment horizontal="left" wrapText="1"/>
    </xf>
    <xf numFmtId="0" fontId="20" fillId="8" borderId="16" xfId="0" applyFont="1" applyFill="1" applyBorder="1" applyAlignment="1">
      <alignment horizontal="center" vertical="center"/>
    </xf>
    <xf numFmtId="0" fontId="20" fillId="8" borderId="13" xfId="0" applyFont="1" applyFill="1" applyBorder="1"/>
    <xf numFmtId="0" fontId="20" fillId="8" borderId="0" xfId="0" applyFont="1" applyFill="1" applyAlignment="1">
      <alignment horizontal="left"/>
    </xf>
    <xf numFmtId="10" fontId="8" fillId="3" borderId="6" xfId="0" applyNumberFormat="1" applyFont="1" applyFill="1" applyBorder="1" applyAlignment="1" quotePrefix="1">
      <alignment horizontal="center" vertical="center"/>
    </xf>
    <xf numFmtId="10" fontId="11" fillId="3" borderId="6" xfId="0" applyNumberFormat="1" applyFont="1" applyFill="1" applyBorder="1" applyAlignment="1" quotePrefix="1">
      <alignment horizontal="center" vertical="center"/>
    </xf>
    <xf numFmtId="10" fontId="11" fillId="3" borderId="2" xfId="0" applyNumberFormat="1" applyFont="1" applyFill="1" applyBorder="1" applyAlignment="1" quotePrefix="1">
      <alignment horizontal="center" vertical="center"/>
    </xf>
    <xf numFmtId="10" fontId="11" fillId="3" borderId="28" xfId="0" applyNumberFormat="1" applyFont="1" applyFill="1" applyBorder="1" applyAlignment="1" quotePrefix="1">
      <alignment horizontal="center" vertical="center"/>
    </xf>
    <xf numFmtId="10" fontId="9" fillId="5" borderId="6" xfId="0" applyNumberFormat="1" applyFont="1" applyFill="1" applyBorder="1" applyAlignment="1" quotePrefix="1">
      <alignment horizontal="center" vertical="center"/>
    </xf>
    <xf numFmtId="10" fontId="9" fillId="4" borderId="6" xfId="0" applyNumberFormat="1" applyFont="1" applyFill="1" applyBorder="1" applyAlignment="1" quotePrefix="1">
      <alignment horizontal="center" vertical="center"/>
    </xf>
    <xf numFmtId="10" fontId="11" fillId="3" borderId="3" xfId="0" applyNumberFormat="1" applyFont="1" applyFill="1" applyBorder="1" applyAlignment="1" quotePrefix="1">
      <alignment horizontal="center" vertical="center"/>
    </xf>
    <xf numFmtId="10" fontId="4" fillId="3" borderId="3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FFC000"/>
      </font>
    </dxf>
    <dxf>
      <font>
        <color theme="0"/>
      </font>
    </dxf>
  </dxfs>
  <tableStyles count="0" defaultTableStyle="TableStyleMedium2" defaultPivotStyle="PivotStyleLight16"/>
  <colors>
    <mruColors>
      <color rgb="00CC00CC"/>
      <color rgb="006666FF"/>
      <color rgb="00CC66FF"/>
      <color rgb="00131313"/>
      <color rgb="00272727"/>
      <color rgb="0099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100" baseline="0">
                <a:blipFill>
                  <a:blip r:embed="rId1"/>
                  <a:tile tx="0" ty="0" sx="100000" sy="100000" flip="none" algn="tl"/>
                </a:blip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CN"/>
              <a:t>涨幅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44939045981081"/>
          <c:y val="0.0923919242614349"/>
          <c:w val="0.9284941069351"/>
          <c:h val="0.781726930534961"/>
        </c:manualLayout>
      </c:layout>
      <c:lineChart>
        <c:grouping val="standard"/>
        <c:varyColors val="0"/>
        <c:ser>
          <c:idx val="1"/>
          <c:order val="0"/>
          <c:tx>
            <c:strRef>
              <c:f>收益表!$I$15</c:f>
              <c:strCache>
                <c:ptCount val="1"/>
                <c:pt idx="0">
                  <c:v>Ratio(1.0%)</c:v>
                </c:pt>
              </c:strCache>
            </c:strRef>
          </c:tx>
          <c:spPr>
            <a:ln w="3492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收益表!$A$16:$A$116</c:f>
              <c:numCache>
                <c:formatCode>yyyy\-mm\-dd;@</c:formatCode>
                <c:ptCount val="101"/>
                <c:pt idx="0" c:formatCode="yyyy\-mm\-dd;@">
                  <c:v>45586</c:v>
                </c:pt>
                <c:pt idx="1" c:formatCode="yyyy\-mm\-dd;@">
                  <c:v>45587</c:v>
                </c:pt>
                <c:pt idx="2" c:formatCode="yyyy\-mm\-dd;@">
                  <c:v>45588</c:v>
                </c:pt>
                <c:pt idx="3" c:formatCode="yyyy\-mm\-dd;@">
                  <c:v>45589</c:v>
                </c:pt>
                <c:pt idx="4" c:formatCode="yyyy\-mm\-dd;@">
                  <c:v>45590</c:v>
                </c:pt>
                <c:pt idx="5" c:formatCode="yyyy\-mm\-dd;@">
                  <c:v>45593</c:v>
                </c:pt>
                <c:pt idx="6" c:formatCode="yyyy\-mm\-dd;@">
                  <c:v>45594</c:v>
                </c:pt>
                <c:pt idx="7" c:formatCode="yyyy\-mm\-dd;@">
                  <c:v>45595</c:v>
                </c:pt>
                <c:pt idx="8" c:formatCode="yyyy\-mm\-dd;@">
                  <c:v>45596</c:v>
                </c:pt>
                <c:pt idx="9" c:formatCode="yyyy\-mm\-dd;@">
                  <c:v>45597</c:v>
                </c:pt>
                <c:pt idx="10" c:formatCode="yyyy\-mm\-dd;@">
                  <c:v>45600</c:v>
                </c:pt>
                <c:pt idx="11" c:formatCode="yyyy\-mm\-dd;@">
                  <c:v>45601</c:v>
                </c:pt>
                <c:pt idx="12" c:formatCode="yyyy\-mm\-dd;@">
                  <c:v>45602</c:v>
                </c:pt>
                <c:pt idx="13" c:formatCode="yyyy\-mm\-dd;@">
                  <c:v>45603</c:v>
                </c:pt>
                <c:pt idx="14" c:formatCode="yyyy\-mm\-dd;@">
                  <c:v>45604</c:v>
                </c:pt>
                <c:pt idx="15" c:formatCode="yyyy\-mm\-dd;@">
                  <c:v>45607</c:v>
                </c:pt>
                <c:pt idx="16" c:formatCode="yyyy\-mm\-dd;@">
                  <c:v>45608</c:v>
                </c:pt>
                <c:pt idx="17" c:formatCode="yyyy\-mm\-dd;@">
                  <c:v>45609</c:v>
                </c:pt>
                <c:pt idx="18" c:formatCode="yyyy\-mm\-dd;@">
                  <c:v>45610</c:v>
                </c:pt>
                <c:pt idx="19" c:formatCode="yyyy\-mm\-dd;@">
                  <c:v>45611</c:v>
                </c:pt>
                <c:pt idx="20" c:formatCode="yyyy\-mm\-dd;@">
                  <c:v>45614</c:v>
                </c:pt>
                <c:pt idx="21" c:formatCode="yyyy\-mm\-dd;@">
                  <c:v>45615</c:v>
                </c:pt>
                <c:pt idx="22" c:formatCode="yyyy\-mm\-dd;@">
                  <c:v>45616</c:v>
                </c:pt>
                <c:pt idx="23" c:formatCode="yyyy\-mm\-dd;@">
                  <c:v>45617</c:v>
                </c:pt>
                <c:pt idx="24" c:formatCode="yyyy\-mm\-dd;@">
                  <c:v>45618</c:v>
                </c:pt>
                <c:pt idx="25" c:formatCode="yyyy\-mm\-dd;@">
                  <c:v>45621</c:v>
                </c:pt>
                <c:pt idx="26" c:formatCode="yyyy\-mm\-dd;@">
                  <c:v>45622</c:v>
                </c:pt>
                <c:pt idx="27" c:formatCode="yyyy\-mm\-dd;@">
                  <c:v>45623</c:v>
                </c:pt>
                <c:pt idx="28" c:formatCode="yyyy\-mm\-dd;@">
                  <c:v>45624</c:v>
                </c:pt>
                <c:pt idx="29" c:formatCode="yyyy\-mm\-dd;@">
                  <c:v>45625</c:v>
                </c:pt>
                <c:pt idx="30" c:formatCode="yyyy\-mm\-dd;@">
                  <c:v>45628</c:v>
                </c:pt>
                <c:pt idx="31" c:formatCode="yyyy\-mm\-dd;@">
                  <c:v>45629</c:v>
                </c:pt>
                <c:pt idx="32" c:formatCode="yyyy\-mm\-dd;@">
                  <c:v>45630</c:v>
                </c:pt>
                <c:pt idx="33" c:formatCode="yyyy\-mm\-dd;@">
                  <c:v>45631</c:v>
                </c:pt>
                <c:pt idx="34" c:formatCode="yyyy\-mm\-dd;@">
                  <c:v>45632</c:v>
                </c:pt>
                <c:pt idx="35" c:formatCode="yyyy\-mm\-dd;@">
                  <c:v>45635</c:v>
                </c:pt>
                <c:pt idx="36" c:formatCode="yyyy\-mm\-dd;@">
                  <c:v>45636</c:v>
                </c:pt>
                <c:pt idx="37" c:formatCode="yyyy\-mm\-dd;@">
                  <c:v>45637</c:v>
                </c:pt>
                <c:pt idx="38" c:formatCode="yyyy\-mm\-dd;@">
                  <c:v>45638</c:v>
                </c:pt>
                <c:pt idx="39" c:formatCode="yyyy\-mm\-dd;@">
                  <c:v>45639</c:v>
                </c:pt>
                <c:pt idx="40" c:formatCode="yyyy\-mm\-dd;@">
                  <c:v>45642</c:v>
                </c:pt>
                <c:pt idx="41" c:formatCode="yyyy\-mm\-dd;@">
                  <c:v>45643</c:v>
                </c:pt>
                <c:pt idx="42" c:formatCode="yyyy\-mm\-dd;@">
                  <c:v>45644</c:v>
                </c:pt>
                <c:pt idx="43" c:formatCode="yyyy\-mm\-dd;@">
                  <c:v>45645</c:v>
                </c:pt>
                <c:pt idx="44" c:formatCode="yyyy\-mm\-dd;@">
                  <c:v>45646</c:v>
                </c:pt>
                <c:pt idx="45" c:formatCode="yyyy\-mm\-dd;@">
                  <c:v>45649</c:v>
                </c:pt>
                <c:pt idx="46" c:formatCode="yyyy\-mm\-dd;@">
                  <c:v>45650</c:v>
                </c:pt>
                <c:pt idx="47" c:formatCode="yyyy\-mm\-dd;@">
                  <c:v>45651</c:v>
                </c:pt>
                <c:pt idx="48" c:formatCode="yyyy\-mm\-dd;@">
                  <c:v>45652</c:v>
                </c:pt>
                <c:pt idx="49" c:formatCode="yyyy\-mm\-dd;@">
                  <c:v>45653</c:v>
                </c:pt>
                <c:pt idx="50" c:formatCode="yyyy\-mm\-dd;@">
                  <c:v>45656</c:v>
                </c:pt>
                <c:pt idx="51" c:formatCode="yyyy\-mm\-dd;@">
                  <c:v>45657</c:v>
                </c:pt>
                <c:pt idx="52" c:formatCode="yyyy\-mm\-dd;@">
                  <c:v>45659</c:v>
                </c:pt>
                <c:pt idx="53" c:formatCode="yyyy\-mm\-dd;@">
                  <c:v>45660</c:v>
                </c:pt>
                <c:pt idx="54" c:formatCode="yyyy\-mm\-dd;@">
                  <c:v>45663</c:v>
                </c:pt>
                <c:pt idx="55" c:formatCode="yyyy\-mm\-dd;@">
                  <c:v>45664</c:v>
                </c:pt>
                <c:pt idx="56" c:formatCode="yyyy\-mm\-dd;@">
                  <c:v>45665</c:v>
                </c:pt>
                <c:pt idx="57" c:formatCode="yyyy\-mm\-dd;@">
                  <c:v>45666</c:v>
                </c:pt>
                <c:pt idx="58" c:formatCode="yyyy\-mm\-dd;@">
                  <c:v>45667</c:v>
                </c:pt>
                <c:pt idx="59" c:formatCode="yyyy\-mm\-dd;@">
                  <c:v>45670</c:v>
                </c:pt>
                <c:pt idx="60" c:formatCode="yyyy\-mm\-dd;@">
                  <c:v>45671</c:v>
                </c:pt>
                <c:pt idx="61" c:formatCode="yyyy\-mm\-dd;@">
                  <c:v>45672</c:v>
                </c:pt>
                <c:pt idx="62" c:formatCode="yyyy\-mm\-dd;@">
                  <c:v>45673</c:v>
                </c:pt>
                <c:pt idx="63" c:formatCode="yyyy\-mm\-dd;@">
                  <c:v>45674</c:v>
                </c:pt>
                <c:pt idx="64" c:formatCode="yyyy\-mm\-dd;@">
                  <c:v>45677</c:v>
                </c:pt>
                <c:pt idx="65" c:formatCode="yyyy\-mm\-dd;@">
                  <c:v>45678</c:v>
                </c:pt>
                <c:pt idx="66" c:formatCode="yyyy\-mm\-dd;@">
                  <c:v>45679</c:v>
                </c:pt>
                <c:pt idx="67" c:formatCode="yyyy\-mm\-dd;@">
                  <c:v>45680</c:v>
                </c:pt>
                <c:pt idx="68" c:formatCode="yyyy\-mm\-dd;@">
                  <c:v>45681</c:v>
                </c:pt>
                <c:pt idx="69" c:formatCode="yyyy\-mm\-dd;@">
                  <c:v>45684</c:v>
                </c:pt>
                <c:pt idx="70" c:formatCode="yyyy\-mm\-dd;@">
                  <c:v>45693</c:v>
                </c:pt>
                <c:pt idx="71" c:formatCode="yyyy\-mm\-dd;@">
                  <c:v>45694</c:v>
                </c:pt>
                <c:pt idx="72" c:formatCode="yyyy\-mm\-dd;@">
                  <c:v>45695</c:v>
                </c:pt>
                <c:pt idx="73" c:formatCode="yyyy\-mm\-dd;@">
                  <c:v>45698</c:v>
                </c:pt>
                <c:pt idx="74" c:formatCode="yyyy\-mm\-dd;@">
                  <c:v>45699</c:v>
                </c:pt>
                <c:pt idx="75" c:formatCode="yyyy\-mm\-dd;@">
                  <c:v>45700</c:v>
                </c:pt>
                <c:pt idx="76" c:formatCode="yyyy\-mm\-dd;@">
                  <c:v>45701</c:v>
                </c:pt>
                <c:pt idx="77" c:formatCode="yyyy\-mm\-dd;@">
                  <c:v>45702</c:v>
                </c:pt>
                <c:pt idx="78" c:formatCode="yyyy\-mm\-dd;@">
                  <c:v>45705</c:v>
                </c:pt>
                <c:pt idx="79" c:formatCode="yyyy\-mm\-dd;@">
                  <c:v>45706</c:v>
                </c:pt>
                <c:pt idx="80" c:formatCode="yyyy\-mm\-dd;@">
                  <c:v>45707</c:v>
                </c:pt>
                <c:pt idx="81" c:formatCode="yyyy\-mm\-dd;@">
                  <c:v>45708</c:v>
                </c:pt>
                <c:pt idx="82" c:formatCode="yyyy\-mm\-dd;@">
                  <c:v>45709</c:v>
                </c:pt>
                <c:pt idx="83" c:formatCode="yyyy\-mm\-dd;@">
                  <c:v>45712</c:v>
                </c:pt>
                <c:pt idx="84" c:formatCode="yyyy\-mm\-dd;@">
                  <c:v>45713</c:v>
                </c:pt>
                <c:pt idx="85" c:formatCode="yyyy\-mm\-dd;@">
                  <c:v>45714</c:v>
                </c:pt>
                <c:pt idx="86" c:formatCode="yyyy\-mm\-dd;@">
                  <c:v>45715</c:v>
                </c:pt>
                <c:pt idx="87" c:formatCode="yyyy\-mm\-dd;@">
                  <c:v>45716</c:v>
                </c:pt>
                <c:pt idx="88" c:formatCode="yyyy\-mm\-dd;@">
                  <c:v>45719</c:v>
                </c:pt>
                <c:pt idx="89" c:formatCode="yyyy\-mm\-dd;@">
                  <c:v>45720</c:v>
                </c:pt>
                <c:pt idx="90" c:formatCode="yyyy\-mm\-dd;@">
                  <c:v>45721</c:v>
                </c:pt>
                <c:pt idx="91" c:formatCode="yyyy\-mm\-dd;@">
                  <c:v>45722</c:v>
                </c:pt>
                <c:pt idx="92" c:formatCode="yyyy\-mm\-dd;@">
                  <c:v>45723</c:v>
                </c:pt>
                <c:pt idx="93" c:formatCode="yyyy\-mm\-dd;@">
                  <c:v>45726</c:v>
                </c:pt>
                <c:pt idx="94" c:formatCode="yyyy\-mm\-dd;@">
                  <c:v>45727</c:v>
                </c:pt>
                <c:pt idx="95" c:formatCode="yyyy\-mm\-dd;@">
                  <c:v>45728</c:v>
                </c:pt>
                <c:pt idx="96" c:formatCode="yyyy\-mm\-dd;@">
                  <c:v>45729</c:v>
                </c:pt>
                <c:pt idx="97" c:formatCode="yyyy\-mm\-dd;@">
                  <c:v>45730</c:v>
                </c:pt>
                <c:pt idx="98" c:formatCode="yyyy\-mm\-dd;@">
                  <c:v>45733</c:v>
                </c:pt>
                <c:pt idx="99" c:formatCode="yyyy\-mm\-dd;@">
                  <c:v>45734</c:v>
                </c:pt>
                <c:pt idx="100" c:formatCode="yyyy\-mm\-dd;@">
                  <c:v>45735</c:v>
                </c:pt>
              </c:numCache>
            </c:numRef>
          </c:cat>
          <c:val>
            <c:numRef>
              <c:f>收益表!$P$16:$P$116</c:f>
              <c:numCache>
                <c:formatCode>0.00%</c:formatCode>
                <c:ptCount val="101"/>
                <c:pt idx="70">
                  <c:v>0</c:v>
                </c:pt>
                <c:pt idx="71">
                  <c:v>0.01</c:v>
                </c:pt>
                <c:pt idx="72">
                  <c:v>0.0201</c:v>
                </c:pt>
                <c:pt idx="73">
                  <c:v>0.0303010000000001</c:v>
                </c:pt>
                <c:pt idx="74">
                  <c:v>0.04060401</c:v>
                </c:pt>
                <c:pt idx="75">
                  <c:v>0.0510100501000001</c:v>
                </c:pt>
                <c:pt idx="76">
                  <c:v>0.0615201506010001</c:v>
                </c:pt>
                <c:pt idx="77">
                  <c:v>0.0721353521070101</c:v>
                </c:pt>
                <c:pt idx="78">
                  <c:v>0.0828567056280802</c:v>
                </c:pt>
                <c:pt idx="79">
                  <c:v>0.0936852726843609</c:v>
                </c:pt>
                <c:pt idx="80">
                  <c:v>0.104622125411205</c:v>
                </c:pt>
                <c:pt idx="81">
                  <c:v>0.115668346665317</c:v>
                </c:pt>
                <c:pt idx="82">
                  <c:v>0.12682503013197</c:v>
                </c:pt>
                <c:pt idx="83">
                  <c:v>0.13809328043329</c:v>
                </c:pt>
                <c:pt idx="84">
                  <c:v>0.149474213237623</c:v>
                </c:pt>
                <c:pt idx="85">
                  <c:v>0.160968955369999</c:v>
                </c:pt>
                <c:pt idx="86">
                  <c:v>0.172578644923699</c:v>
                </c:pt>
                <c:pt idx="87">
                  <c:v>0.184304431372936</c:v>
                </c:pt>
                <c:pt idx="88">
                  <c:v>0.19614747568667</c:v>
                </c:pt>
                <c:pt idx="89">
                  <c:v>0.20810895044353</c:v>
                </c:pt>
                <c:pt idx="90">
                  <c:v>0.22019003994797</c:v>
                </c:pt>
                <c:pt idx="91">
                  <c:v>0.23239194034745</c:v>
                </c:pt>
                <c:pt idx="92">
                  <c:v>0.24471585975092</c:v>
                </c:pt>
                <c:pt idx="93">
                  <c:v>0.25716301834843</c:v>
                </c:pt>
                <c:pt idx="94">
                  <c:v>0.26973464853191</c:v>
                </c:pt>
                <c:pt idx="95">
                  <c:v>0.28243199501723</c:v>
                </c:pt>
                <c:pt idx="96">
                  <c:v>0.29525631496741</c:v>
                </c:pt>
                <c:pt idx="97">
                  <c:v>0.30820887811708</c:v>
                </c:pt>
                <c:pt idx="98">
                  <c:v>0.32129096689825</c:v>
                </c:pt>
                <c:pt idx="99">
                  <c:v>0.33450387656723</c:v>
                </c:pt>
                <c:pt idx="100">
                  <c:v>0.34784891533291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收益表!$S$15</c:f>
              <c:strCache>
                <c:ptCount val="1"/>
                <c:pt idx="0">
                  <c:v/>
                </c:pt>
              </c:strCache>
            </c:strRef>
          </c:tx>
          <c:spPr>
            <a:ln w="34925" cap="rnd">
              <a:solidFill>
                <a:srgbClr val="00B0F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收益表!$A$16:$A$116</c:f>
              <c:numCache>
                <c:formatCode>yyyy\-mm\-dd;@</c:formatCode>
                <c:ptCount val="101"/>
                <c:pt idx="0" c:formatCode="yyyy\-mm\-dd;@">
                  <c:v>45586</c:v>
                </c:pt>
                <c:pt idx="1" c:formatCode="yyyy\-mm\-dd;@">
                  <c:v>45587</c:v>
                </c:pt>
                <c:pt idx="2" c:formatCode="yyyy\-mm\-dd;@">
                  <c:v>45588</c:v>
                </c:pt>
                <c:pt idx="3" c:formatCode="yyyy\-mm\-dd;@">
                  <c:v>45589</c:v>
                </c:pt>
                <c:pt idx="4" c:formatCode="yyyy\-mm\-dd;@">
                  <c:v>45590</c:v>
                </c:pt>
                <c:pt idx="5" c:formatCode="yyyy\-mm\-dd;@">
                  <c:v>45593</c:v>
                </c:pt>
                <c:pt idx="6" c:formatCode="yyyy\-mm\-dd;@">
                  <c:v>45594</c:v>
                </c:pt>
                <c:pt idx="7" c:formatCode="yyyy\-mm\-dd;@">
                  <c:v>45595</c:v>
                </c:pt>
                <c:pt idx="8" c:formatCode="yyyy\-mm\-dd;@">
                  <c:v>45596</c:v>
                </c:pt>
                <c:pt idx="9" c:formatCode="yyyy\-mm\-dd;@">
                  <c:v>45597</c:v>
                </c:pt>
                <c:pt idx="10" c:formatCode="yyyy\-mm\-dd;@">
                  <c:v>45600</c:v>
                </c:pt>
                <c:pt idx="11" c:formatCode="yyyy\-mm\-dd;@">
                  <c:v>45601</c:v>
                </c:pt>
                <c:pt idx="12" c:formatCode="yyyy\-mm\-dd;@">
                  <c:v>45602</c:v>
                </c:pt>
                <c:pt idx="13" c:formatCode="yyyy\-mm\-dd;@">
                  <c:v>45603</c:v>
                </c:pt>
                <c:pt idx="14" c:formatCode="yyyy\-mm\-dd;@">
                  <c:v>45604</c:v>
                </c:pt>
                <c:pt idx="15" c:formatCode="yyyy\-mm\-dd;@">
                  <c:v>45607</c:v>
                </c:pt>
                <c:pt idx="16" c:formatCode="yyyy\-mm\-dd;@">
                  <c:v>45608</c:v>
                </c:pt>
                <c:pt idx="17" c:formatCode="yyyy\-mm\-dd;@">
                  <c:v>45609</c:v>
                </c:pt>
                <c:pt idx="18" c:formatCode="yyyy\-mm\-dd;@">
                  <c:v>45610</c:v>
                </c:pt>
                <c:pt idx="19" c:formatCode="yyyy\-mm\-dd;@">
                  <c:v>45611</c:v>
                </c:pt>
                <c:pt idx="20" c:formatCode="yyyy\-mm\-dd;@">
                  <c:v>45614</c:v>
                </c:pt>
                <c:pt idx="21" c:formatCode="yyyy\-mm\-dd;@">
                  <c:v>45615</c:v>
                </c:pt>
                <c:pt idx="22" c:formatCode="yyyy\-mm\-dd;@">
                  <c:v>45616</c:v>
                </c:pt>
                <c:pt idx="23" c:formatCode="yyyy\-mm\-dd;@">
                  <c:v>45617</c:v>
                </c:pt>
                <c:pt idx="24" c:formatCode="yyyy\-mm\-dd;@">
                  <c:v>45618</c:v>
                </c:pt>
                <c:pt idx="25" c:formatCode="yyyy\-mm\-dd;@">
                  <c:v>45621</c:v>
                </c:pt>
                <c:pt idx="26" c:formatCode="yyyy\-mm\-dd;@">
                  <c:v>45622</c:v>
                </c:pt>
                <c:pt idx="27" c:formatCode="yyyy\-mm\-dd;@">
                  <c:v>45623</c:v>
                </c:pt>
                <c:pt idx="28" c:formatCode="yyyy\-mm\-dd;@">
                  <c:v>45624</c:v>
                </c:pt>
                <c:pt idx="29" c:formatCode="yyyy\-mm\-dd;@">
                  <c:v>45625</c:v>
                </c:pt>
                <c:pt idx="30" c:formatCode="yyyy\-mm\-dd;@">
                  <c:v>45628</c:v>
                </c:pt>
                <c:pt idx="31" c:formatCode="yyyy\-mm\-dd;@">
                  <c:v>45629</c:v>
                </c:pt>
                <c:pt idx="32" c:formatCode="yyyy\-mm\-dd;@">
                  <c:v>45630</c:v>
                </c:pt>
                <c:pt idx="33" c:formatCode="yyyy\-mm\-dd;@">
                  <c:v>45631</c:v>
                </c:pt>
                <c:pt idx="34" c:formatCode="yyyy\-mm\-dd;@">
                  <c:v>45632</c:v>
                </c:pt>
                <c:pt idx="35" c:formatCode="yyyy\-mm\-dd;@">
                  <c:v>45635</c:v>
                </c:pt>
                <c:pt idx="36" c:formatCode="yyyy\-mm\-dd;@">
                  <c:v>45636</c:v>
                </c:pt>
                <c:pt idx="37" c:formatCode="yyyy\-mm\-dd;@">
                  <c:v>45637</c:v>
                </c:pt>
                <c:pt idx="38" c:formatCode="yyyy\-mm\-dd;@">
                  <c:v>45638</c:v>
                </c:pt>
                <c:pt idx="39" c:formatCode="yyyy\-mm\-dd;@">
                  <c:v>45639</c:v>
                </c:pt>
                <c:pt idx="40" c:formatCode="yyyy\-mm\-dd;@">
                  <c:v>45642</c:v>
                </c:pt>
                <c:pt idx="41" c:formatCode="yyyy\-mm\-dd;@">
                  <c:v>45643</c:v>
                </c:pt>
                <c:pt idx="42" c:formatCode="yyyy\-mm\-dd;@">
                  <c:v>45644</c:v>
                </c:pt>
                <c:pt idx="43" c:formatCode="yyyy\-mm\-dd;@">
                  <c:v>45645</c:v>
                </c:pt>
                <c:pt idx="44" c:formatCode="yyyy\-mm\-dd;@">
                  <c:v>45646</c:v>
                </c:pt>
                <c:pt idx="45" c:formatCode="yyyy\-mm\-dd;@">
                  <c:v>45649</c:v>
                </c:pt>
                <c:pt idx="46" c:formatCode="yyyy\-mm\-dd;@">
                  <c:v>45650</c:v>
                </c:pt>
                <c:pt idx="47" c:formatCode="yyyy\-mm\-dd;@">
                  <c:v>45651</c:v>
                </c:pt>
                <c:pt idx="48" c:formatCode="yyyy\-mm\-dd;@">
                  <c:v>45652</c:v>
                </c:pt>
                <c:pt idx="49" c:formatCode="yyyy\-mm\-dd;@">
                  <c:v>45653</c:v>
                </c:pt>
                <c:pt idx="50" c:formatCode="yyyy\-mm\-dd;@">
                  <c:v>45656</c:v>
                </c:pt>
                <c:pt idx="51" c:formatCode="yyyy\-mm\-dd;@">
                  <c:v>45657</c:v>
                </c:pt>
                <c:pt idx="52" c:formatCode="yyyy\-mm\-dd;@">
                  <c:v>45659</c:v>
                </c:pt>
                <c:pt idx="53" c:formatCode="yyyy\-mm\-dd;@">
                  <c:v>45660</c:v>
                </c:pt>
                <c:pt idx="54" c:formatCode="yyyy\-mm\-dd;@">
                  <c:v>45663</c:v>
                </c:pt>
                <c:pt idx="55" c:formatCode="yyyy\-mm\-dd;@">
                  <c:v>45664</c:v>
                </c:pt>
                <c:pt idx="56" c:formatCode="yyyy\-mm\-dd;@">
                  <c:v>45665</c:v>
                </c:pt>
                <c:pt idx="57" c:formatCode="yyyy\-mm\-dd;@">
                  <c:v>45666</c:v>
                </c:pt>
                <c:pt idx="58" c:formatCode="yyyy\-mm\-dd;@">
                  <c:v>45667</c:v>
                </c:pt>
                <c:pt idx="59" c:formatCode="yyyy\-mm\-dd;@">
                  <c:v>45670</c:v>
                </c:pt>
                <c:pt idx="60" c:formatCode="yyyy\-mm\-dd;@">
                  <c:v>45671</c:v>
                </c:pt>
                <c:pt idx="61" c:formatCode="yyyy\-mm\-dd;@">
                  <c:v>45672</c:v>
                </c:pt>
                <c:pt idx="62" c:formatCode="yyyy\-mm\-dd;@">
                  <c:v>45673</c:v>
                </c:pt>
                <c:pt idx="63" c:formatCode="yyyy\-mm\-dd;@">
                  <c:v>45674</c:v>
                </c:pt>
                <c:pt idx="64" c:formatCode="yyyy\-mm\-dd;@">
                  <c:v>45677</c:v>
                </c:pt>
                <c:pt idx="65" c:formatCode="yyyy\-mm\-dd;@">
                  <c:v>45678</c:v>
                </c:pt>
                <c:pt idx="66" c:formatCode="yyyy\-mm\-dd;@">
                  <c:v>45679</c:v>
                </c:pt>
                <c:pt idx="67" c:formatCode="yyyy\-mm\-dd;@">
                  <c:v>45680</c:v>
                </c:pt>
                <c:pt idx="68" c:formatCode="yyyy\-mm\-dd;@">
                  <c:v>45681</c:v>
                </c:pt>
                <c:pt idx="69" c:formatCode="yyyy\-mm\-dd;@">
                  <c:v>45684</c:v>
                </c:pt>
                <c:pt idx="70" c:formatCode="yyyy\-mm\-dd;@">
                  <c:v>45693</c:v>
                </c:pt>
                <c:pt idx="71" c:formatCode="yyyy\-mm\-dd;@">
                  <c:v>45694</c:v>
                </c:pt>
                <c:pt idx="72" c:formatCode="yyyy\-mm\-dd;@">
                  <c:v>45695</c:v>
                </c:pt>
                <c:pt idx="73" c:formatCode="yyyy\-mm\-dd;@">
                  <c:v>45698</c:v>
                </c:pt>
                <c:pt idx="74" c:formatCode="yyyy\-mm\-dd;@">
                  <c:v>45699</c:v>
                </c:pt>
                <c:pt idx="75" c:formatCode="yyyy\-mm\-dd;@">
                  <c:v>45700</c:v>
                </c:pt>
                <c:pt idx="76" c:formatCode="yyyy\-mm\-dd;@">
                  <c:v>45701</c:v>
                </c:pt>
                <c:pt idx="77" c:formatCode="yyyy\-mm\-dd;@">
                  <c:v>45702</c:v>
                </c:pt>
                <c:pt idx="78" c:formatCode="yyyy\-mm\-dd;@">
                  <c:v>45705</c:v>
                </c:pt>
                <c:pt idx="79" c:formatCode="yyyy\-mm\-dd;@">
                  <c:v>45706</c:v>
                </c:pt>
                <c:pt idx="80" c:formatCode="yyyy\-mm\-dd;@">
                  <c:v>45707</c:v>
                </c:pt>
                <c:pt idx="81" c:formatCode="yyyy\-mm\-dd;@">
                  <c:v>45708</c:v>
                </c:pt>
                <c:pt idx="82" c:formatCode="yyyy\-mm\-dd;@">
                  <c:v>45709</c:v>
                </c:pt>
                <c:pt idx="83" c:formatCode="yyyy\-mm\-dd;@">
                  <c:v>45712</c:v>
                </c:pt>
                <c:pt idx="84" c:formatCode="yyyy\-mm\-dd;@">
                  <c:v>45713</c:v>
                </c:pt>
                <c:pt idx="85" c:formatCode="yyyy\-mm\-dd;@">
                  <c:v>45714</c:v>
                </c:pt>
                <c:pt idx="86" c:formatCode="yyyy\-mm\-dd;@">
                  <c:v>45715</c:v>
                </c:pt>
                <c:pt idx="87" c:formatCode="yyyy\-mm\-dd;@">
                  <c:v>45716</c:v>
                </c:pt>
                <c:pt idx="88" c:formatCode="yyyy\-mm\-dd;@">
                  <c:v>45719</c:v>
                </c:pt>
                <c:pt idx="89" c:formatCode="yyyy\-mm\-dd;@">
                  <c:v>45720</c:v>
                </c:pt>
                <c:pt idx="90" c:formatCode="yyyy\-mm\-dd;@">
                  <c:v>45721</c:v>
                </c:pt>
                <c:pt idx="91" c:formatCode="yyyy\-mm\-dd;@">
                  <c:v>45722</c:v>
                </c:pt>
                <c:pt idx="92" c:formatCode="yyyy\-mm\-dd;@">
                  <c:v>45723</c:v>
                </c:pt>
                <c:pt idx="93" c:formatCode="yyyy\-mm\-dd;@">
                  <c:v>45726</c:v>
                </c:pt>
                <c:pt idx="94" c:formatCode="yyyy\-mm\-dd;@">
                  <c:v>45727</c:v>
                </c:pt>
                <c:pt idx="95" c:formatCode="yyyy\-mm\-dd;@">
                  <c:v>45728</c:v>
                </c:pt>
                <c:pt idx="96" c:formatCode="yyyy\-mm\-dd;@">
                  <c:v>45729</c:v>
                </c:pt>
                <c:pt idx="97" c:formatCode="yyyy\-mm\-dd;@">
                  <c:v>45730</c:v>
                </c:pt>
                <c:pt idx="98" c:formatCode="yyyy\-mm\-dd;@">
                  <c:v>45733</c:v>
                </c:pt>
                <c:pt idx="99" c:formatCode="yyyy\-mm\-dd;@">
                  <c:v>45734</c:v>
                </c:pt>
                <c:pt idx="100" c:formatCode="yyyy\-mm\-dd;@">
                  <c:v>45735</c:v>
                </c:pt>
              </c:numCache>
            </c:numRef>
          </c:cat>
          <c:val>
            <c:numRef>
              <c:f>收益表!$S$16:$S$102</c:f>
              <c:numCache>
                <c:formatCode>0.00%</c:formatCode>
                <c:ptCount val="87"/>
              </c:numCache>
            </c:numRef>
          </c:val>
          <c:smooth val="0"/>
        </c:ser>
        <c:ser>
          <c:idx val="0"/>
          <c:order val="2"/>
          <c:tx>
            <c:strRef>
              <c:f>收益表!$N$15</c:f>
              <c:strCache>
                <c:ptCount val="1"/>
                <c:pt idx="0">
                  <c:v>实际涨幅</c:v>
                </c:pt>
              </c:strCache>
            </c:strRef>
          </c:tx>
          <c:spPr>
            <a:ln w="34925" cap="rnd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"/>
            <c:marker>
              <c:symbol val="none"/>
            </c:marker>
            <c:bubble3D val="0"/>
            <c:spPr>
              <a:ln w="34925" cap="rnd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cat>
            <c:numRef>
              <c:f>收益表!$A$16:$A$116</c:f>
              <c:numCache>
                <c:formatCode>yyyy\-mm\-dd;@</c:formatCode>
                <c:ptCount val="101"/>
                <c:pt idx="0" c:formatCode="yyyy\-mm\-dd;@">
                  <c:v>45586</c:v>
                </c:pt>
                <c:pt idx="1" c:formatCode="yyyy\-mm\-dd;@">
                  <c:v>45587</c:v>
                </c:pt>
                <c:pt idx="2" c:formatCode="yyyy\-mm\-dd;@">
                  <c:v>45588</c:v>
                </c:pt>
                <c:pt idx="3" c:formatCode="yyyy\-mm\-dd;@">
                  <c:v>45589</c:v>
                </c:pt>
                <c:pt idx="4" c:formatCode="yyyy\-mm\-dd;@">
                  <c:v>45590</c:v>
                </c:pt>
                <c:pt idx="5" c:formatCode="yyyy\-mm\-dd;@">
                  <c:v>45593</c:v>
                </c:pt>
                <c:pt idx="6" c:formatCode="yyyy\-mm\-dd;@">
                  <c:v>45594</c:v>
                </c:pt>
                <c:pt idx="7" c:formatCode="yyyy\-mm\-dd;@">
                  <c:v>45595</c:v>
                </c:pt>
                <c:pt idx="8" c:formatCode="yyyy\-mm\-dd;@">
                  <c:v>45596</c:v>
                </c:pt>
                <c:pt idx="9" c:formatCode="yyyy\-mm\-dd;@">
                  <c:v>45597</c:v>
                </c:pt>
                <c:pt idx="10" c:formatCode="yyyy\-mm\-dd;@">
                  <c:v>45600</c:v>
                </c:pt>
                <c:pt idx="11" c:formatCode="yyyy\-mm\-dd;@">
                  <c:v>45601</c:v>
                </c:pt>
                <c:pt idx="12" c:formatCode="yyyy\-mm\-dd;@">
                  <c:v>45602</c:v>
                </c:pt>
                <c:pt idx="13" c:formatCode="yyyy\-mm\-dd;@">
                  <c:v>45603</c:v>
                </c:pt>
                <c:pt idx="14" c:formatCode="yyyy\-mm\-dd;@">
                  <c:v>45604</c:v>
                </c:pt>
                <c:pt idx="15" c:formatCode="yyyy\-mm\-dd;@">
                  <c:v>45607</c:v>
                </c:pt>
                <c:pt idx="16" c:formatCode="yyyy\-mm\-dd;@">
                  <c:v>45608</c:v>
                </c:pt>
                <c:pt idx="17" c:formatCode="yyyy\-mm\-dd;@">
                  <c:v>45609</c:v>
                </c:pt>
                <c:pt idx="18" c:formatCode="yyyy\-mm\-dd;@">
                  <c:v>45610</c:v>
                </c:pt>
                <c:pt idx="19" c:formatCode="yyyy\-mm\-dd;@">
                  <c:v>45611</c:v>
                </c:pt>
                <c:pt idx="20" c:formatCode="yyyy\-mm\-dd;@">
                  <c:v>45614</c:v>
                </c:pt>
                <c:pt idx="21" c:formatCode="yyyy\-mm\-dd;@">
                  <c:v>45615</c:v>
                </c:pt>
                <c:pt idx="22" c:formatCode="yyyy\-mm\-dd;@">
                  <c:v>45616</c:v>
                </c:pt>
                <c:pt idx="23" c:formatCode="yyyy\-mm\-dd;@">
                  <c:v>45617</c:v>
                </c:pt>
                <c:pt idx="24" c:formatCode="yyyy\-mm\-dd;@">
                  <c:v>45618</c:v>
                </c:pt>
                <c:pt idx="25" c:formatCode="yyyy\-mm\-dd;@">
                  <c:v>45621</c:v>
                </c:pt>
                <c:pt idx="26" c:formatCode="yyyy\-mm\-dd;@">
                  <c:v>45622</c:v>
                </c:pt>
                <c:pt idx="27" c:formatCode="yyyy\-mm\-dd;@">
                  <c:v>45623</c:v>
                </c:pt>
                <c:pt idx="28" c:formatCode="yyyy\-mm\-dd;@">
                  <c:v>45624</c:v>
                </c:pt>
                <c:pt idx="29" c:formatCode="yyyy\-mm\-dd;@">
                  <c:v>45625</c:v>
                </c:pt>
                <c:pt idx="30" c:formatCode="yyyy\-mm\-dd;@">
                  <c:v>45628</c:v>
                </c:pt>
                <c:pt idx="31" c:formatCode="yyyy\-mm\-dd;@">
                  <c:v>45629</c:v>
                </c:pt>
                <c:pt idx="32" c:formatCode="yyyy\-mm\-dd;@">
                  <c:v>45630</c:v>
                </c:pt>
                <c:pt idx="33" c:formatCode="yyyy\-mm\-dd;@">
                  <c:v>45631</c:v>
                </c:pt>
                <c:pt idx="34" c:formatCode="yyyy\-mm\-dd;@">
                  <c:v>45632</c:v>
                </c:pt>
                <c:pt idx="35" c:formatCode="yyyy\-mm\-dd;@">
                  <c:v>45635</c:v>
                </c:pt>
                <c:pt idx="36" c:formatCode="yyyy\-mm\-dd;@">
                  <c:v>45636</c:v>
                </c:pt>
                <c:pt idx="37" c:formatCode="yyyy\-mm\-dd;@">
                  <c:v>45637</c:v>
                </c:pt>
                <c:pt idx="38" c:formatCode="yyyy\-mm\-dd;@">
                  <c:v>45638</c:v>
                </c:pt>
                <c:pt idx="39" c:formatCode="yyyy\-mm\-dd;@">
                  <c:v>45639</c:v>
                </c:pt>
                <c:pt idx="40" c:formatCode="yyyy\-mm\-dd;@">
                  <c:v>45642</c:v>
                </c:pt>
                <c:pt idx="41" c:formatCode="yyyy\-mm\-dd;@">
                  <c:v>45643</c:v>
                </c:pt>
                <c:pt idx="42" c:formatCode="yyyy\-mm\-dd;@">
                  <c:v>45644</c:v>
                </c:pt>
                <c:pt idx="43" c:formatCode="yyyy\-mm\-dd;@">
                  <c:v>45645</c:v>
                </c:pt>
                <c:pt idx="44" c:formatCode="yyyy\-mm\-dd;@">
                  <c:v>45646</c:v>
                </c:pt>
                <c:pt idx="45" c:formatCode="yyyy\-mm\-dd;@">
                  <c:v>45649</c:v>
                </c:pt>
                <c:pt idx="46" c:formatCode="yyyy\-mm\-dd;@">
                  <c:v>45650</c:v>
                </c:pt>
                <c:pt idx="47" c:formatCode="yyyy\-mm\-dd;@">
                  <c:v>45651</c:v>
                </c:pt>
                <c:pt idx="48" c:formatCode="yyyy\-mm\-dd;@">
                  <c:v>45652</c:v>
                </c:pt>
                <c:pt idx="49" c:formatCode="yyyy\-mm\-dd;@">
                  <c:v>45653</c:v>
                </c:pt>
                <c:pt idx="50" c:formatCode="yyyy\-mm\-dd;@">
                  <c:v>45656</c:v>
                </c:pt>
                <c:pt idx="51" c:formatCode="yyyy\-mm\-dd;@">
                  <c:v>45657</c:v>
                </c:pt>
                <c:pt idx="52" c:formatCode="yyyy\-mm\-dd;@">
                  <c:v>45659</c:v>
                </c:pt>
                <c:pt idx="53" c:formatCode="yyyy\-mm\-dd;@">
                  <c:v>45660</c:v>
                </c:pt>
                <c:pt idx="54" c:formatCode="yyyy\-mm\-dd;@">
                  <c:v>45663</c:v>
                </c:pt>
                <c:pt idx="55" c:formatCode="yyyy\-mm\-dd;@">
                  <c:v>45664</c:v>
                </c:pt>
                <c:pt idx="56" c:formatCode="yyyy\-mm\-dd;@">
                  <c:v>45665</c:v>
                </c:pt>
                <c:pt idx="57" c:formatCode="yyyy\-mm\-dd;@">
                  <c:v>45666</c:v>
                </c:pt>
                <c:pt idx="58" c:formatCode="yyyy\-mm\-dd;@">
                  <c:v>45667</c:v>
                </c:pt>
                <c:pt idx="59" c:formatCode="yyyy\-mm\-dd;@">
                  <c:v>45670</c:v>
                </c:pt>
                <c:pt idx="60" c:formatCode="yyyy\-mm\-dd;@">
                  <c:v>45671</c:v>
                </c:pt>
                <c:pt idx="61" c:formatCode="yyyy\-mm\-dd;@">
                  <c:v>45672</c:v>
                </c:pt>
                <c:pt idx="62" c:formatCode="yyyy\-mm\-dd;@">
                  <c:v>45673</c:v>
                </c:pt>
                <c:pt idx="63" c:formatCode="yyyy\-mm\-dd;@">
                  <c:v>45674</c:v>
                </c:pt>
                <c:pt idx="64" c:formatCode="yyyy\-mm\-dd;@">
                  <c:v>45677</c:v>
                </c:pt>
                <c:pt idx="65" c:formatCode="yyyy\-mm\-dd;@">
                  <c:v>45678</c:v>
                </c:pt>
                <c:pt idx="66" c:formatCode="yyyy\-mm\-dd;@">
                  <c:v>45679</c:v>
                </c:pt>
                <c:pt idx="67" c:formatCode="yyyy\-mm\-dd;@">
                  <c:v>45680</c:v>
                </c:pt>
                <c:pt idx="68" c:formatCode="yyyy\-mm\-dd;@">
                  <c:v>45681</c:v>
                </c:pt>
                <c:pt idx="69" c:formatCode="yyyy\-mm\-dd;@">
                  <c:v>45684</c:v>
                </c:pt>
                <c:pt idx="70" c:formatCode="yyyy\-mm\-dd;@">
                  <c:v>45693</c:v>
                </c:pt>
                <c:pt idx="71" c:formatCode="yyyy\-mm\-dd;@">
                  <c:v>45694</c:v>
                </c:pt>
                <c:pt idx="72" c:formatCode="yyyy\-mm\-dd;@">
                  <c:v>45695</c:v>
                </c:pt>
                <c:pt idx="73" c:formatCode="yyyy\-mm\-dd;@">
                  <c:v>45698</c:v>
                </c:pt>
                <c:pt idx="74" c:formatCode="yyyy\-mm\-dd;@">
                  <c:v>45699</c:v>
                </c:pt>
                <c:pt idx="75" c:formatCode="yyyy\-mm\-dd;@">
                  <c:v>45700</c:v>
                </c:pt>
                <c:pt idx="76" c:formatCode="yyyy\-mm\-dd;@">
                  <c:v>45701</c:v>
                </c:pt>
                <c:pt idx="77" c:formatCode="yyyy\-mm\-dd;@">
                  <c:v>45702</c:v>
                </c:pt>
                <c:pt idx="78" c:formatCode="yyyy\-mm\-dd;@">
                  <c:v>45705</c:v>
                </c:pt>
                <c:pt idx="79" c:formatCode="yyyy\-mm\-dd;@">
                  <c:v>45706</c:v>
                </c:pt>
                <c:pt idx="80" c:formatCode="yyyy\-mm\-dd;@">
                  <c:v>45707</c:v>
                </c:pt>
                <c:pt idx="81" c:formatCode="yyyy\-mm\-dd;@">
                  <c:v>45708</c:v>
                </c:pt>
                <c:pt idx="82" c:formatCode="yyyy\-mm\-dd;@">
                  <c:v>45709</c:v>
                </c:pt>
                <c:pt idx="83" c:formatCode="yyyy\-mm\-dd;@">
                  <c:v>45712</c:v>
                </c:pt>
                <c:pt idx="84" c:formatCode="yyyy\-mm\-dd;@">
                  <c:v>45713</c:v>
                </c:pt>
                <c:pt idx="85" c:formatCode="yyyy\-mm\-dd;@">
                  <c:v>45714</c:v>
                </c:pt>
                <c:pt idx="86" c:formatCode="yyyy\-mm\-dd;@">
                  <c:v>45715</c:v>
                </c:pt>
                <c:pt idx="87" c:formatCode="yyyy\-mm\-dd;@">
                  <c:v>45716</c:v>
                </c:pt>
                <c:pt idx="88" c:formatCode="yyyy\-mm\-dd;@">
                  <c:v>45719</c:v>
                </c:pt>
                <c:pt idx="89" c:formatCode="yyyy\-mm\-dd;@">
                  <c:v>45720</c:v>
                </c:pt>
                <c:pt idx="90" c:formatCode="yyyy\-mm\-dd;@">
                  <c:v>45721</c:v>
                </c:pt>
                <c:pt idx="91" c:formatCode="yyyy\-mm\-dd;@">
                  <c:v>45722</c:v>
                </c:pt>
                <c:pt idx="92" c:formatCode="yyyy\-mm\-dd;@">
                  <c:v>45723</c:v>
                </c:pt>
                <c:pt idx="93" c:formatCode="yyyy\-mm\-dd;@">
                  <c:v>45726</c:v>
                </c:pt>
                <c:pt idx="94" c:formatCode="yyyy\-mm\-dd;@">
                  <c:v>45727</c:v>
                </c:pt>
                <c:pt idx="95" c:formatCode="yyyy\-mm\-dd;@">
                  <c:v>45728</c:v>
                </c:pt>
                <c:pt idx="96" c:formatCode="yyyy\-mm\-dd;@">
                  <c:v>45729</c:v>
                </c:pt>
                <c:pt idx="97" c:formatCode="yyyy\-mm\-dd;@">
                  <c:v>45730</c:v>
                </c:pt>
                <c:pt idx="98" c:formatCode="yyyy\-mm\-dd;@">
                  <c:v>45733</c:v>
                </c:pt>
                <c:pt idx="99" c:formatCode="yyyy\-mm\-dd;@">
                  <c:v>45734</c:v>
                </c:pt>
                <c:pt idx="100" c:formatCode="yyyy\-mm\-dd;@">
                  <c:v>45735</c:v>
                </c:pt>
              </c:numCache>
            </c:numRef>
          </c:cat>
          <c:val>
            <c:numRef>
              <c:f>收益表!$N$16:$N$103</c:f>
              <c:numCache>
                <c:formatCode>0.00%</c:formatCode>
                <c:ptCount val="88"/>
                <c:pt idx="0">
                  <c:v>0</c:v>
                </c:pt>
                <c:pt idx="1">
                  <c:v>0.0793663622403622</c:v>
                </c:pt>
                <c:pt idx="2">
                  <c:v>0.0888949677440749</c:v>
                </c:pt>
                <c:pt idx="3">
                  <c:v>0.0817499642521868</c:v>
                </c:pt>
                <c:pt idx="4">
                  <c:v>0.118631345754921</c:v>
                </c:pt>
                <c:pt idx="5">
                  <c:v>0.124913077320109</c:v>
                </c:pt>
                <c:pt idx="6">
                  <c:v>0.158803877539843</c:v>
                </c:pt>
                <c:pt idx="7">
                  <c:v>0.26654684198909</c:v>
                </c:pt>
                <c:pt idx="8">
                  <c:v>0.34328774352872</c:v>
                </c:pt>
                <c:pt idx="9">
                  <c:v>0.244657097288676</c:v>
                </c:pt>
                <c:pt idx="10">
                  <c:v>0.275280434555313</c:v>
                </c:pt>
                <c:pt idx="11">
                  <c:v>0.280616117912794</c:v>
                </c:pt>
                <c:pt idx="12">
                  <c:v>0.275155962937331</c:v>
                </c:pt>
                <c:pt idx="13">
                  <c:v>0.289110724972492</c:v>
                </c:pt>
                <c:pt idx="14">
                  <c:v>0.322467127045691</c:v>
                </c:pt>
                <c:pt idx="15">
                  <c:v>0.282489498744496</c:v>
                </c:pt>
                <c:pt idx="16">
                  <c:v>0.302557642806287</c:v>
                </c:pt>
                <c:pt idx="17">
                  <c:v>0.304156190305487</c:v>
                </c:pt>
                <c:pt idx="18">
                  <c:v>0.236249454399408</c:v>
                </c:pt>
                <c:pt idx="19">
                  <c:v>0.182491988176856</c:v>
                </c:pt>
                <c:pt idx="20">
                  <c:v>0.145831943400266</c:v>
                </c:pt>
                <c:pt idx="21">
                  <c:v>0.145831943400266</c:v>
                </c:pt>
                <c:pt idx="22">
                  <c:v>0.145831943400266</c:v>
                </c:pt>
                <c:pt idx="23">
                  <c:v>0.145831943400266</c:v>
                </c:pt>
                <c:pt idx="24">
                  <c:v>0.145831943400266</c:v>
                </c:pt>
                <c:pt idx="25">
                  <c:v>0.146316884823922</c:v>
                </c:pt>
                <c:pt idx="26">
                  <c:v>0.0983581363777433</c:v>
                </c:pt>
                <c:pt idx="27">
                  <c:v>0.100751310686138</c:v>
                </c:pt>
                <c:pt idx="28">
                  <c:v>0.0981988127067266</c:v>
                </c:pt>
                <c:pt idx="29">
                  <c:v>0.208098953276674</c:v>
                </c:pt>
                <c:pt idx="30">
                  <c:v>0.328222362736849</c:v>
                </c:pt>
                <c:pt idx="31">
                  <c:v>0.461124858309808</c:v>
                </c:pt>
                <c:pt idx="32">
                  <c:v>0.606806439995552</c:v>
                </c:pt>
                <c:pt idx="33">
                  <c:v>0.765267107794081</c:v>
                </c:pt>
                <c:pt idx="34">
                  <c:v>0.799646832529247</c:v>
                </c:pt>
                <c:pt idx="35">
                  <c:v>0.917752806005175</c:v>
                </c:pt>
                <c:pt idx="36">
                  <c:v>0.84624303166392</c:v>
                </c:pt>
                <c:pt idx="37">
                  <c:v>0.770320323559822</c:v>
                </c:pt>
                <c:pt idx="38">
                  <c:v>0.799629240540572</c:v>
                </c:pt>
                <c:pt idx="39">
                  <c:v>0.626302678463257</c:v>
                </c:pt>
                <c:pt idx="40">
                  <c:v>0.54992291057793</c:v>
                </c:pt>
                <c:pt idx="41">
                  <c:v>0.549590986263312</c:v>
                </c:pt>
                <c:pt idx="42">
                  <c:v>0.699588911736346</c:v>
                </c:pt>
                <c:pt idx="43">
                  <c:v>0.69804811906789</c:v>
                </c:pt>
                <c:pt idx="44">
                  <c:v>0.537992554937623</c:v>
                </c:pt>
                <c:pt idx="45">
                  <c:v>0.383108371629101</c:v>
                </c:pt>
                <c:pt idx="46">
                  <c:v>0.244620585614068</c:v>
                </c:pt>
                <c:pt idx="47">
                  <c:v>0.240876147420865</c:v>
                </c:pt>
                <c:pt idx="48">
                  <c:v>0.242823879299042</c:v>
                </c:pt>
                <c:pt idx="49">
                  <c:v>0.22316964485758</c:v>
                </c:pt>
                <c:pt idx="50">
                  <c:v>0.22316964485758</c:v>
                </c:pt>
                <c:pt idx="51">
                  <c:v>0.163921154698306</c:v>
                </c:pt>
                <c:pt idx="52">
                  <c:v>0.121493924955232</c:v>
                </c:pt>
                <c:pt idx="53">
                  <c:v>0.06840495430232</c:v>
                </c:pt>
                <c:pt idx="54">
                  <c:v>0.051380556205574</c:v>
                </c:pt>
                <c:pt idx="55">
                  <c:v>0.0179590969667096</c:v>
                </c:pt>
                <c:pt idx="56">
                  <c:v>0.0249816196910781</c:v>
                </c:pt>
                <c:pt idx="57">
                  <c:v>0.0250148121225398</c:v>
                </c:pt>
                <c:pt idx="58">
                  <c:v>0.0277492046263612</c:v>
                </c:pt>
                <c:pt idx="59">
                  <c:v>0.0302419562291407</c:v>
                </c:pt>
                <c:pt idx="60">
                  <c:v>0.0260182193256293</c:v>
                </c:pt>
                <c:pt idx="61">
                  <c:v>0.0114789385724268</c:v>
                </c:pt>
                <c:pt idx="62">
                  <c:v>-0.0306253288125241</c:v>
                </c:pt>
                <c:pt idx="63">
                  <c:v>-0.0550725503570676</c:v>
                </c:pt>
                <c:pt idx="64">
                  <c:v>-0.0903670585033199</c:v>
                </c:pt>
                <c:pt idx="65">
                  <c:v>-0.0757222258180689</c:v>
                </c:pt>
                <c:pt idx="66">
                  <c:v>-0.0814645164609565</c:v>
                </c:pt>
                <c:pt idx="67">
                  <c:v>-0.0922892322092717</c:v>
                </c:pt>
                <c:pt idx="68">
                  <c:v>-0.0930194657014308</c:v>
                </c:pt>
                <c:pt idx="69">
                  <c:v>-0.00676959639662955</c:v>
                </c:pt>
                <c:pt idx="70">
                  <c:v>-0.00510997482354059</c:v>
                </c:pt>
                <c:pt idx="71">
                  <c:v>0.0360941138201667</c:v>
                </c:pt>
                <c:pt idx="72">
                  <c:v>0.0689546209673271</c:v>
                </c:pt>
                <c:pt idx="73">
                  <c:v>0.0687889907343329</c:v>
                </c:pt>
                <c:pt idx="74">
                  <c:v>0.0427116888807015</c:v>
                </c:pt>
                <c:pt idx="75">
                  <c:v>0.0427448813121631</c:v>
                </c:pt>
                <c:pt idx="76">
                  <c:v>0.0425490459665387</c:v>
                </c:pt>
                <c:pt idx="77">
                  <c:v>0.0482163217143228</c:v>
                </c:pt>
                <c:pt idx="78">
                  <c:v>-0.0919088469447196</c:v>
                </c:pt>
                <c:pt idx="79">
                  <c:v>-0.0717278486159585</c:v>
                </c:pt>
                <c:pt idx="80">
                  <c:v>-0.0844704230541352</c:v>
                </c:pt>
                <c:pt idx="81">
                  <c:v>-0.0681297890455018</c:v>
                </c:pt>
                <c:pt idx="82">
                  <c:v>-0.112748051189368</c:v>
                </c:pt>
                <c:pt idx="83">
                  <c:v>-0.112914013346677</c:v>
                </c:pt>
                <c:pt idx="84">
                  <c:v>-0.117902171946753</c:v>
                </c:pt>
                <c:pt idx="85">
                  <c:v>-0.0841886193110246</c:v>
                </c:pt>
                <c:pt idx="86">
                  <c:v>-0.108319185059423</c:v>
                </c:pt>
                <c:pt idx="87">
                  <c:v>-0.153410771275934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10629728"/>
        <c:axId val="1710630208"/>
      </c:lineChart>
      <c:dateAx>
        <c:axId val="1710629728"/>
        <c:scaling>
          <c:orientation val="minMax"/>
        </c:scaling>
        <c:delete val="0"/>
        <c:axPos val="b"/>
        <c:numFmt formatCode="yyyy\-mm\-dd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zh-CN" sz="900" b="0" i="0" u="none" strike="noStrike" kern="1200" baseline="0">
                <a:blipFill>
                  <a:blip r:embed="rId1"/>
                  <a:tile tx="0" ty="0" sx="100000" sy="100000" flip="none" algn="tl"/>
                </a:blipFill>
                <a:latin typeface="+mn-lt"/>
                <a:ea typeface="+mn-ea"/>
                <a:cs typeface="+mn-cs"/>
              </a:defRPr>
            </a:pPr>
          </a:p>
        </c:txPr>
        <c:crossAx val="1710630208"/>
        <c:crosses val="autoZero"/>
        <c:auto val="1"/>
        <c:lblOffset val="100"/>
        <c:baseTimeUnit val="days"/>
      </c:dateAx>
      <c:valAx>
        <c:axId val="1710630208"/>
        <c:scaling>
          <c:orientation val="minMax"/>
          <c:max val="3"/>
          <c:min val="-0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blipFill>
                  <a:blip r:embed="rId1"/>
                  <a:tile tx="0" ty="0" sx="100000" sy="100000" flip="none" algn="tl"/>
                </a:blipFill>
                <a:latin typeface="+mn-lt"/>
                <a:ea typeface="+mn-ea"/>
                <a:cs typeface="+mn-cs"/>
              </a:defRPr>
            </a:pPr>
          </a:p>
        </c:txPr>
        <c:crossAx val="1710629728"/>
        <c:crossesAt val="45586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9b1b339-f51f-44cc-b97f-5d5d7e6da0fd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zh-CN">
          <a:blipFill>
            <a:blip r:embed="rId1"/>
            <a:tile tx="0" ty="0" sx="100000" sy="100000" flip="none" algn="tl"/>
          </a:blipFill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0</xdr:colOff>
      <xdr:row>0</xdr:row>
      <xdr:rowOff>9525</xdr:rowOff>
    </xdr:from>
    <xdr:to>
      <xdr:col>21</xdr:col>
      <xdr:colOff>0</xdr:colOff>
      <xdr:row>13</xdr:row>
      <xdr:rowOff>23495</xdr:rowOff>
    </xdr:to>
    <xdr:graphicFrame>
      <xdr:nvGraphicFramePr>
        <xdr:cNvPr id="3" name="Chart 1"/>
        <xdr:cNvGraphicFramePr/>
      </xdr:nvGraphicFramePr>
      <xdr:xfrm>
        <a:off x="17887950" y="9525"/>
        <a:ext cx="1990725" cy="2573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selection activeCell="K22" sqref="K22"/>
    </sheetView>
  </sheetViews>
  <sheetFormatPr defaultColWidth="9.14166666666667" defaultRowHeight="13" outlineLevelCol="1"/>
  <cols>
    <col min="1" max="1" width="12.425" style="366" customWidth="1"/>
    <col min="2" max="2" width="153.425" style="367" customWidth="1"/>
    <col min="3" max="16384" width="9.14166666666667" style="368"/>
  </cols>
  <sheetData>
    <row r="1" spans="1:2">
      <c r="A1" s="369" t="s">
        <v>0</v>
      </c>
      <c r="B1" s="369" t="s">
        <v>1</v>
      </c>
    </row>
    <row r="2" spans="1:2">
      <c r="A2" s="370" t="s">
        <v>2</v>
      </c>
      <c r="B2" s="371" t="s">
        <v>3</v>
      </c>
    </row>
    <row r="3" spans="1:2">
      <c r="A3" s="372"/>
      <c r="B3" s="371" t="s">
        <v>4</v>
      </c>
    </row>
    <row r="4" spans="1:2">
      <c r="A4" s="372"/>
      <c r="B4" s="371" t="s">
        <v>5</v>
      </c>
    </row>
    <row r="5" spans="1:2">
      <c r="A5" s="372"/>
      <c r="B5" s="371" t="s">
        <v>6</v>
      </c>
    </row>
    <row r="6" spans="1:2">
      <c r="A6" s="372"/>
      <c r="B6" s="371" t="s">
        <v>7</v>
      </c>
    </row>
    <row r="7" spans="1:2">
      <c r="A7" s="372"/>
      <c r="B7" s="371" t="s">
        <v>8</v>
      </c>
    </row>
    <row r="8" spans="1:2">
      <c r="A8" s="369" t="s">
        <v>9</v>
      </c>
      <c r="B8" s="373" t="s">
        <v>10</v>
      </c>
    </row>
    <row r="9" spans="1:2">
      <c r="A9" s="369"/>
      <c r="B9" s="373" t="s">
        <v>11</v>
      </c>
    </row>
    <row r="10" spans="1:2">
      <c r="A10" s="369"/>
      <c r="B10" s="374" t="s">
        <v>12</v>
      </c>
    </row>
    <row r="11" spans="1:2">
      <c r="A11" s="369"/>
      <c r="B11" s="374" t="s">
        <v>13</v>
      </c>
    </row>
    <row r="12" spans="1:2">
      <c r="A12" s="369"/>
      <c r="B12" s="373" t="s">
        <v>14</v>
      </c>
    </row>
    <row r="13" spans="1:2">
      <c r="A13" s="370" t="s">
        <v>15</v>
      </c>
      <c r="B13" s="373" t="s">
        <v>16</v>
      </c>
    </row>
    <row r="14" spans="1:2">
      <c r="A14" s="372"/>
      <c r="B14" s="373" t="s">
        <v>17</v>
      </c>
    </row>
    <row r="15" spans="1:2">
      <c r="A15" s="372"/>
      <c r="B15" s="373" t="s">
        <v>18</v>
      </c>
    </row>
    <row r="16" spans="1:2">
      <c r="A16" s="375"/>
      <c r="B16" s="373" t="s">
        <v>19</v>
      </c>
    </row>
    <row r="17" spans="1:2">
      <c r="A17" s="370" t="s">
        <v>20</v>
      </c>
      <c r="B17" s="373" t="s">
        <v>21</v>
      </c>
    </row>
    <row r="18" spans="1:2">
      <c r="A18" s="372"/>
      <c r="B18" s="373" t="s">
        <v>22</v>
      </c>
    </row>
    <row r="19" spans="1:2">
      <c r="A19" s="372"/>
      <c r="B19" s="373" t="s">
        <v>23</v>
      </c>
    </row>
    <row r="20" spans="1:2">
      <c r="A20" s="372"/>
      <c r="B20" s="373" t="s">
        <v>24</v>
      </c>
    </row>
    <row r="21" spans="1:2">
      <c r="A21" s="375"/>
      <c r="B21" s="376" t="s">
        <v>25</v>
      </c>
    </row>
    <row r="22" s="365" customFormat="1" spans="1:2">
      <c r="A22" s="369" t="s">
        <v>26</v>
      </c>
      <c r="B22" s="373" t="s">
        <v>27</v>
      </c>
    </row>
    <row r="23" s="365" customFormat="1" spans="1:2">
      <c r="A23" s="369"/>
      <c r="B23" s="373" t="s">
        <v>28</v>
      </c>
    </row>
    <row r="24" s="365" customFormat="1" spans="1:2">
      <c r="A24" s="369"/>
      <c r="B24" s="373" t="s">
        <v>29</v>
      </c>
    </row>
    <row r="25" s="365" customFormat="1" spans="1:2">
      <c r="A25" s="369"/>
      <c r="B25" s="373" t="s">
        <v>30</v>
      </c>
    </row>
    <row r="26" s="365" customFormat="1" spans="1:2">
      <c r="A26" s="369"/>
      <c r="B26" s="373" t="s">
        <v>31</v>
      </c>
    </row>
    <row r="27" s="365" customFormat="1" spans="1:2">
      <c r="A27" s="369"/>
      <c r="B27" s="373" t="s">
        <v>32</v>
      </c>
    </row>
    <row r="28" s="365" customFormat="1" spans="1:2">
      <c r="A28" s="366"/>
      <c r="B28" s="377"/>
    </row>
    <row r="29" s="365" customFormat="1" spans="1:2">
      <c r="A29" s="366"/>
      <c r="B29" s="377"/>
    </row>
    <row r="30" s="365" customFormat="1" spans="1:2">
      <c r="A30" s="366"/>
      <c r="B30" s="377"/>
    </row>
  </sheetData>
  <mergeCells count="5">
    <mergeCell ref="A2:A7"/>
    <mergeCell ref="A8:A12"/>
    <mergeCell ref="A13:A16"/>
    <mergeCell ref="A17:A21"/>
    <mergeCell ref="A22:A2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33"/>
  <sheetViews>
    <sheetView workbookViewId="0">
      <pane xSplit="1" ySplit="15" topLeftCell="C139" activePane="bottomRight" state="frozen"/>
      <selection/>
      <selection pane="topRight"/>
      <selection pane="bottomLeft"/>
      <selection pane="bottomRight" activeCell="A149" sqref="A149"/>
    </sheetView>
  </sheetViews>
  <sheetFormatPr defaultColWidth="7.5" defaultRowHeight="15.5"/>
  <cols>
    <col min="1" max="1" width="12.25" style="308" customWidth="1"/>
    <col min="2" max="2" width="9.375" style="309" customWidth="1"/>
    <col min="3" max="3" width="12.375" style="310" customWidth="1"/>
    <col min="4" max="4" width="14" style="311" customWidth="1"/>
    <col min="5" max="5" width="12.375" style="310" customWidth="1"/>
    <col min="6" max="6" width="14" style="312" customWidth="1"/>
    <col min="7" max="7" width="12.375" style="310" customWidth="1"/>
    <col min="8" max="8" width="14.5" style="311" customWidth="1"/>
    <col min="9" max="9" width="12.25" style="310" customWidth="1"/>
    <col min="10" max="10" width="15" style="311" customWidth="1"/>
    <col min="11" max="11" width="12.375" style="311" customWidth="1"/>
    <col min="12" max="12" width="15.25" style="313" customWidth="1"/>
    <col min="13" max="13" width="9" style="314" customWidth="1"/>
    <col min="14" max="14" width="15.625" style="315" customWidth="1"/>
    <col min="15" max="15" width="11.875" style="316" customWidth="1"/>
    <col min="16" max="16" width="16.5" style="315" customWidth="1"/>
    <col min="17" max="17" width="9.125" style="317" customWidth="1"/>
    <col min="18" max="18" width="16.5" style="315" customWidth="1"/>
    <col min="19" max="19" width="12.375" style="315" customWidth="1"/>
    <col min="20" max="21" width="6.875" style="318" customWidth="1"/>
    <col min="22" max="22" width="7.5" style="311" customWidth="1"/>
    <col min="23" max="23" width="6.625" style="311" customWidth="1"/>
    <col min="24" max="24" width="8.375" style="311" customWidth="1"/>
    <col min="25" max="25" width="6.25" style="310" customWidth="1"/>
    <col min="26" max="26" width="10.125" style="311" customWidth="1"/>
    <col min="27" max="27" width="6.375" style="310" customWidth="1"/>
    <col min="28" max="28" width="11" style="311" customWidth="1"/>
    <col min="29" max="29" width="6.375" style="310" customWidth="1"/>
    <col min="30" max="30" width="11" style="311" customWidth="1"/>
    <col min="31" max="31" width="6.375" style="310" customWidth="1"/>
    <col min="32" max="32" width="12.25" style="311" customWidth="1"/>
    <col min="33" max="33" width="6.875" style="310" customWidth="1"/>
    <col min="34" max="34" width="12.5" style="311" customWidth="1"/>
    <col min="35" max="35" width="6.875" style="310" customWidth="1"/>
    <col min="36" max="36" width="12.5" style="311" customWidth="1"/>
    <col min="37" max="37" width="7" style="310" customWidth="1"/>
    <col min="38" max="38" width="13.25" style="311" customWidth="1"/>
    <col min="39" max="39" width="7.5" style="310" customWidth="1"/>
    <col min="40" max="40" width="13.375" style="311" customWidth="1"/>
    <col min="41" max="16382" width="7.5" style="309" customWidth="1"/>
    <col min="16383" max="16384" width="7.5" style="309"/>
  </cols>
  <sheetData>
    <row r="1" spans="1:18">
      <c r="A1" s="319" t="s">
        <v>33</v>
      </c>
      <c r="B1" s="319" t="s">
        <v>34</v>
      </c>
      <c r="C1" s="320" t="s">
        <v>35</v>
      </c>
      <c r="D1" s="319" t="s">
        <v>36</v>
      </c>
      <c r="E1" s="320" t="s">
        <v>37</v>
      </c>
      <c r="F1" s="319" t="s">
        <v>36</v>
      </c>
      <c r="G1" s="320" t="s">
        <v>38</v>
      </c>
      <c r="H1" s="319" t="s">
        <v>36</v>
      </c>
      <c r="I1" s="320" t="s">
        <v>39</v>
      </c>
      <c r="J1" s="319" t="s">
        <v>36</v>
      </c>
      <c r="K1" s="320" t="s">
        <v>40</v>
      </c>
      <c r="L1" s="319" t="s">
        <v>36</v>
      </c>
      <c r="M1" s="320" t="s">
        <v>41</v>
      </c>
      <c r="N1" s="319" t="s">
        <v>36</v>
      </c>
      <c r="O1" s="320" t="s">
        <v>42</v>
      </c>
      <c r="P1" s="319" t="s">
        <v>36</v>
      </c>
      <c r="Q1" s="320" t="s">
        <v>43</v>
      </c>
      <c r="R1" s="319" t="s">
        <v>36</v>
      </c>
    </row>
    <row r="2" spans="1:18">
      <c r="A2" s="321">
        <v>45658</v>
      </c>
      <c r="B2" s="319">
        <v>0</v>
      </c>
      <c r="C2" s="322">
        <v>1</v>
      </c>
      <c r="D2" s="323">
        <v>30000</v>
      </c>
      <c r="E2" s="322">
        <v>1</v>
      </c>
      <c r="F2" s="323">
        <v>30000</v>
      </c>
      <c r="G2" s="322">
        <v>1</v>
      </c>
      <c r="H2" s="323">
        <v>30000</v>
      </c>
      <c r="I2" s="322">
        <v>1</v>
      </c>
      <c r="J2" s="323">
        <v>30000</v>
      </c>
      <c r="K2" s="322">
        <v>1</v>
      </c>
      <c r="L2" s="323">
        <v>30000</v>
      </c>
      <c r="M2" s="322">
        <v>1</v>
      </c>
      <c r="N2" s="323">
        <v>30000</v>
      </c>
      <c r="O2" s="322">
        <v>1</v>
      </c>
      <c r="P2" s="323">
        <v>30000</v>
      </c>
      <c r="Q2" s="322">
        <v>1</v>
      </c>
      <c r="R2" s="323">
        <v>30000</v>
      </c>
    </row>
    <row r="3" spans="1:18">
      <c r="A3" s="321">
        <v>45689</v>
      </c>
      <c r="B3" s="319">
        <v>0</v>
      </c>
      <c r="C3" s="320">
        <v>1.1</v>
      </c>
      <c r="D3" s="319">
        <f>$C$3*(D2+B3)</f>
        <v>33000</v>
      </c>
      <c r="E3" s="320">
        <v>1.15</v>
      </c>
      <c r="F3" s="319">
        <f>$E$3*(F2+B3)</f>
        <v>34500</v>
      </c>
      <c r="G3" s="320">
        <v>1.2</v>
      </c>
      <c r="H3" s="319">
        <f>$G$3*(H2+B3)</f>
        <v>36000</v>
      </c>
      <c r="I3" s="320">
        <v>1.25</v>
      </c>
      <c r="J3" s="319">
        <f>$I$3*(J2+B3)</f>
        <v>37500</v>
      </c>
      <c r="K3" s="320">
        <v>1.3</v>
      </c>
      <c r="L3" s="319">
        <f>$K$3*(L2+B3)</f>
        <v>39000</v>
      </c>
      <c r="M3" s="320">
        <v>1.35</v>
      </c>
      <c r="N3" s="319">
        <f>$M$3*(N2+B3)</f>
        <v>40500</v>
      </c>
      <c r="O3" s="320">
        <v>1.4</v>
      </c>
      <c r="P3" s="319">
        <f>$O$3*(P2+B3)</f>
        <v>42000</v>
      </c>
      <c r="Q3" s="320">
        <v>1.45</v>
      </c>
      <c r="R3" s="319">
        <f>$Q$3*(R2+B3)</f>
        <v>43500</v>
      </c>
    </row>
    <row r="4" spans="1:18">
      <c r="A4" s="321">
        <v>45717</v>
      </c>
      <c r="B4" s="319">
        <v>0</v>
      </c>
      <c r="C4" s="320">
        <f>POWER($C$3,B88)</f>
        <v>1.21</v>
      </c>
      <c r="D4" s="319">
        <f t="shared" ref="D4:D13" si="0">$C$3*(D3+B4)</f>
        <v>36300</v>
      </c>
      <c r="E4" s="320">
        <f>POWER($E$3,B88)</f>
        <v>1.3225</v>
      </c>
      <c r="F4" s="319">
        <f t="shared" ref="F4:F13" si="1">$E$3*(F3+B4)</f>
        <v>39675</v>
      </c>
      <c r="G4" s="320">
        <f>POWER($G$3,B88)</f>
        <v>1.44</v>
      </c>
      <c r="H4" s="319">
        <f t="shared" ref="H4:H13" si="2">$G$3*(H3+B4)</f>
        <v>43200</v>
      </c>
      <c r="I4" s="320">
        <f>POWER($I$3,B88)</f>
        <v>1.5625</v>
      </c>
      <c r="J4" s="319">
        <f t="shared" ref="J4:J13" si="3">$I$3*(J3+B4)</f>
        <v>46875</v>
      </c>
      <c r="K4" s="320">
        <f>POWER($K$3,B88)</f>
        <v>1.69</v>
      </c>
      <c r="L4" s="319">
        <f t="shared" ref="L4:L13" si="4">$K$3*(L3+B4)</f>
        <v>50700</v>
      </c>
      <c r="M4" s="320">
        <f>POWER($M$3,B88)</f>
        <v>1.8225</v>
      </c>
      <c r="N4" s="319">
        <f t="shared" ref="N4:N13" si="5">$M$3*(N3+B4)</f>
        <v>54675</v>
      </c>
      <c r="O4" s="320">
        <f>POWER($O$3,B88)</f>
        <v>1.96</v>
      </c>
      <c r="P4" s="319">
        <f t="shared" ref="P4:P13" si="6">$O$3*(P3+B4)</f>
        <v>58800</v>
      </c>
      <c r="Q4" s="320">
        <f>POWER($Q$3,B88)</f>
        <v>2.1025</v>
      </c>
      <c r="R4" s="319">
        <f t="shared" ref="R4:R13" si="7">$Q$3*(R3+B4)</f>
        <v>63075</v>
      </c>
    </row>
    <row r="5" spans="1:18">
      <c r="A5" s="321">
        <v>45748</v>
      </c>
      <c r="B5" s="319">
        <v>0</v>
      </c>
      <c r="C5" s="320">
        <f t="shared" ref="C5:C13" si="8">POWER($C$3,B89)</f>
        <v>1.331</v>
      </c>
      <c r="D5" s="324">
        <f t="shared" si="0"/>
        <v>39930</v>
      </c>
      <c r="E5" s="320">
        <f t="shared" ref="E5:E13" si="9">POWER($E$3,B89)</f>
        <v>1.520875</v>
      </c>
      <c r="F5" s="319">
        <f t="shared" si="1"/>
        <v>45626.25</v>
      </c>
      <c r="G5" s="320">
        <f t="shared" ref="G5:G13" si="10">POWER($G$3,B89)</f>
        <v>1.728</v>
      </c>
      <c r="H5" s="319">
        <f t="shared" si="2"/>
        <v>51840</v>
      </c>
      <c r="I5" s="320">
        <f t="shared" ref="I5:I13" si="11">POWER($I$3,B89)</f>
        <v>1.953125</v>
      </c>
      <c r="J5" s="319">
        <f t="shared" si="3"/>
        <v>58593.75</v>
      </c>
      <c r="K5" s="320">
        <f t="shared" ref="K5:K13" si="12">POWER($K$3,B89)</f>
        <v>2.197</v>
      </c>
      <c r="L5" s="319">
        <f t="shared" si="4"/>
        <v>65910</v>
      </c>
      <c r="M5" s="320">
        <f t="shared" ref="M5:M13" si="13">POWER($M$3,B89)</f>
        <v>2.460375</v>
      </c>
      <c r="N5" s="319">
        <f t="shared" si="5"/>
        <v>73811.25</v>
      </c>
      <c r="O5" s="320">
        <f t="shared" ref="O5:O13" si="14">POWER($O$3,B89)</f>
        <v>2.744</v>
      </c>
      <c r="P5" s="319">
        <f t="shared" si="6"/>
        <v>82320</v>
      </c>
      <c r="Q5" s="320">
        <f t="shared" ref="Q5:Q13" si="15">POWER($Q$3,B89)</f>
        <v>3.048625</v>
      </c>
      <c r="R5" s="319">
        <f t="shared" si="7"/>
        <v>91458.75</v>
      </c>
    </row>
    <row r="6" spans="1:18">
      <c r="A6" s="321">
        <v>45778</v>
      </c>
      <c r="B6" s="319">
        <v>0</v>
      </c>
      <c r="C6" s="320">
        <f t="shared" si="8"/>
        <v>1.4641</v>
      </c>
      <c r="D6" s="324">
        <f t="shared" si="0"/>
        <v>43923</v>
      </c>
      <c r="E6" s="320">
        <f t="shared" si="9"/>
        <v>1.74900625</v>
      </c>
      <c r="F6" s="319">
        <f t="shared" si="1"/>
        <v>52470.1875</v>
      </c>
      <c r="G6" s="320">
        <f t="shared" si="10"/>
        <v>2.0736</v>
      </c>
      <c r="H6" s="319">
        <f t="shared" si="2"/>
        <v>62208</v>
      </c>
      <c r="I6" s="320">
        <f t="shared" si="11"/>
        <v>2.44140625</v>
      </c>
      <c r="J6" s="319">
        <f t="shared" si="3"/>
        <v>73242.1875</v>
      </c>
      <c r="K6" s="320">
        <f t="shared" si="12"/>
        <v>2.8561</v>
      </c>
      <c r="L6" s="319">
        <f t="shared" si="4"/>
        <v>85683</v>
      </c>
      <c r="M6" s="320">
        <f t="shared" si="13"/>
        <v>3.32150625</v>
      </c>
      <c r="N6" s="319">
        <f t="shared" si="5"/>
        <v>99645.1875</v>
      </c>
      <c r="O6" s="320">
        <f t="shared" si="14"/>
        <v>3.8416</v>
      </c>
      <c r="P6" s="319">
        <f t="shared" si="6"/>
        <v>115248</v>
      </c>
      <c r="Q6" s="320">
        <f t="shared" si="15"/>
        <v>4.42050625</v>
      </c>
      <c r="R6" s="319">
        <f t="shared" si="7"/>
        <v>132615.1875</v>
      </c>
    </row>
    <row r="7" spans="1:18">
      <c r="A7" s="321">
        <v>45809</v>
      </c>
      <c r="B7" s="319">
        <v>0</v>
      </c>
      <c r="C7" s="320">
        <f t="shared" si="8"/>
        <v>1.61051</v>
      </c>
      <c r="D7" s="324">
        <f t="shared" si="0"/>
        <v>48315.3</v>
      </c>
      <c r="E7" s="320">
        <f t="shared" si="9"/>
        <v>2.0113571875</v>
      </c>
      <c r="F7" s="319">
        <f t="shared" si="1"/>
        <v>60340.715625</v>
      </c>
      <c r="G7" s="320">
        <f t="shared" si="10"/>
        <v>2.48832</v>
      </c>
      <c r="H7" s="319">
        <f t="shared" si="2"/>
        <v>74649.6</v>
      </c>
      <c r="I7" s="320">
        <f t="shared" si="11"/>
        <v>3.0517578125</v>
      </c>
      <c r="J7" s="319">
        <f t="shared" si="3"/>
        <v>91552.734375</v>
      </c>
      <c r="K7" s="320">
        <f t="shared" si="12"/>
        <v>3.71293</v>
      </c>
      <c r="L7" s="319">
        <f t="shared" si="4"/>
        <v>111387.9</v>
      </c>
      <c r="M7" s="320">
        <f t="shared" si="13"/>
        <v>4.4840334375</v>
      </c>
      <c r="N7" s="319">
        <f t="shared" si="5"/>
        <v>134521.003125</v>
      </c>
      <c r="O7" s="320">
        <f t="shared" si="14"/>
        <v>5.37824</v>
      </c>
      <c r="P7" s="319">
        <f t="shared" si="6"/>
        <v>161347.2</v>
      </c>
      <c r="Q7" s="320">
        <f t="shared" si="15"/>
        <v>6.4097340625</v>
      </c>
      <c r="R7" s="319">
        <f t="shared" si="7"/>
        <v>192292.021875</v>
      </c>
    </row>
    <row r="8" spans="1:18">
      <c r="A8" s="321">
        <v>45839</v>
      </c>
      <c r="B8" s="319">
        <v>0</v>
      </c>
      <c r="C8" s="320">
        <f t="shared" si="8"/>
        <v>1.771561</v>
      </c>
      <c r="D8" s="324">
        <f t="shared" si="0"/>
        <v>53146.83</v>
      </c>
      <c r="E8" s="320">
        <f t="shared" si="9"/>
        <v>2.313060765625</v>
      </c>
      <c r="F8" s="319">
        <f t="shared" si="1"/>
        <v>69391.82296875</v>
      </c>
      <c r="G8" s="320">
        <f t="shared" si="10"/>
        <v>2.985984</v>
      </c>
      <c r="H8" s="319">
        <f t="shared" si="2"/>
        <v>89579.52</v>
      </c>
      <c r="I8" s="320">
        <f t="shared" si="11"/>
        <v>3.814697265625</v>
      </c>
      <c r="J8" s="319">
        <f t="shared" si="3"/>
        <v>114440.91796875</v>
      </c>
      <c r="K8" s="320">
        <f t="shared" si="12"/>
        <v>4.826809</v>
      </c>
      <c r="L8" s="319">
        <f t="shared" si="4"/>
        <v>144804.27</v>
      </c>
      <c r="M8" s="320">
        <f t="shared" si="13"/>
        <v>6.053445140625</v>
      </c>
      <c r="N8" s="319">
        <f t="shared" si="5"/>
        <v>181603.35421875</v>
      </c>
      <c r="O8" s="320">
        <f t="shared" si="14"/>
        <v>7.529536</v>
      </c>
      <c r="P8" s="319">
        <f t="shared" si="6"/>
        <v>225886.08</v>
      </c>
      <c r="Q8" s="320">
        <f t="shared" si="15"/>
        <v>9.294114390625</v>
      </c>
      <c r="R8" s="319">
        <f t="shared" si="7"/>
        <v>278823.43171875</v>
      </c>
    </row>
    <row r="9" spans="1:18">
      <c r="A9" s="321">
        <v>45870</v>
      </c>
      <c r="B9" s="319">
        <v>0</v>
      </c>
      <c r="C9" s="320">
        <f t="shared" si="8"/>
        <v>1.9487171</v>
      </c>
      <c r="D9" s="319">
        <f t="shared" si="0"/>
        <v>58461.513</v>
      </c>
      <c r="E9" s="320">
        <f t="shared" si="9"/>
        <v>2.66001988046875</v>
      </c>
      <c r="F9" s="319">
        <f t="shared" si="1"/>
        <v>79800.5964140625</v>
      </c>
      <c r="G9" s="320">
        <f t="shared" si="10"/>
        <v>3.5831808</v>
      </c>
      <c r="H9" s="319">
        <f t="shared" si="2"/>
        <v>107495.424</v>
      </c>
      <c r="I9" s="320">
        <f t="shared" si="11"/>
        <v>4.76837158203125</v>
      </c>
      <c r="J9" s="319">
        <f t="shared" si="3"/>
        <v>143051.147460937</v>
      </c>
      <c r="K9" s="320">
        <f t="shared" si="12"/>
        <v>6.2748517</v>
      </c>
      <c r="L9" s="319">
        <f t="shared" si="4"/>
        <v>188245.551</v>
      </c>
      <c r="M9" s="320">
        <f t="shared" si="13"/>
        <v>8.17215093984375</v>
      </c>
      <c r="N9" s="319">
        <f t="shared" si="5"/>
        <v>245164.528195313</v>
      </c>
      <c r="O9" s="320">
        <f t="shared" si="14"/>
        <v>10.5413504</v>
      </c>
      <c r="P9" s="319">
        <f t="shared" si="6"/>
        <v>316240.512</v>
      </c>
      <c r="Q9" s="320">
        <f t="shared" si="15"/>
        <v>13.4764658664062</v>
      </c>
      <c r="R9" s="319">
        <f t="shared" si="7"/>
        <v>404293.975992187</v>
      </c>
    </row>
    <row r="10" spans="1:18">
      <c r="A10" s="321">
        <v>45901</v>
      </c>
      <c r="B10" s="319">
        <v>0</v>
      </c>
      <c r="C10" s="320">
        <f t="shared" si="8"/>
        <v>2.14358881</v>
      </c>
      <c r="D10" s="319">
        <f t="shared" si="0"/>
        <v>64307.6643</v>
      </c>
      <c r="E10" s="320">
        <f t="shared" si="9"/>
        <v>3.05902286253906</v>
      </c>
      <c r="F10" s="319">
        <f t="shared" si="1"/>
        <v>91770.6858761718</v>
      </c>
      <c r="G10" s="320">
        <f t="shared" si="10"/>
        <v>4.29981696</v>
      </c>
      <c r="H10" s="319">
        <f t="shared" si="2"/>
        <v>128994.5088</v>
      </c>
      <c r="I10" s="320">
        <f t="shared" si="11"/>
        <v>5.96046447753906</v>
      </c>
      <c r="J10" s="319">
        <f t="shared" si="3"/>
        <v>178813.934326172</v>
      </c>
      <c r="K10" s="320">
        <f t="shared" si="12"/>
        <v>8.15730721</v>
      </c>
      <c r="L10" s="319">
        <f t="shared" si="4"/>
        <v>244719.2163</v>
      </c>
      <c r="M10" s="320">
        <f t="shared" si="13"/>
        <v>11.0324037687891</v>
      </c>
      <c r="N10" s="319">
        <f t="shared" si="5"/>
        <v>330972.113063672</v>
      </c>
      <c r="O10" s="320">
        <f t="shared" si="14"/>
        <v>14.75789056</v>
      </c>
      <c r="P10" s="319">
        <f t="shared" si="6"/>
        <v>442736.7168</v>
      </c>
      <c r="Q10" s="320">
        <f t="shared" si="15"/>
        <v>19.5408755062891</v>
      </c>
      <c r="R10" s="319">
        <f t="shared" si="7"/>
        <v>586226.265188672</v>
      </c>
    </row>
    <row r="11" spans="1:18">
      <c r="A11" s="321">
        <v>45931</v>
      </c>
      <c r="B11" s="319">
        <v>0</v>
      </c>
      <c r="C11" s="320">
        <f t="shared" si="8"/>
        <v>2.357947691</v>
      </c>
      <c r="D11" s="319">
        <f t="shared" si="0"/>
        <v>70738.43073</v>
      </c>
      <c r="E11" s="320">
        <f t="shared" si="9"/>
        <v>3.51787629191992</v>
      </c>
      <c r="F11" s="319">
        <f t="shared" si="1"/>
        <v>105536.288757598</v>
      </c>
      <c r="G11" s="320">
        <f t="shared" si="10"/>
        <v>5.159780352</v>
      </c>
      <c r="H11" s="319">
        <f t="shared" si="2"/>
        <v>154793.41056</v>
      </c>
      <c r="I11" s="320">
        <f t="shared" si="11"/>
        <v>7.45058059692383</v>
      </c>
      <c r="J11" s="319">
        <f t="shared" si="3"/>
        <v>223517.417907715</v>
      </c>
      <c r="K11" s="320">
        <f t="shared" si="12"/>
        <v>10.604499373</v>
      </c>
      <c r="L11" s="319">
        <f t="shared" si="4"/>
        <v>318134.98119</v>
      </c>
      <c r="M11" s="320">
        <f t="shared" si="13"/>
        <v>14.8937450878652</v>
      </c>
      <c r="N11" s="319">
        <f t="shared" si="5"/>
        <v>446812.352635957</v>
      </c>
      <c r="O11" s="320">
        <f t="shared" si="14"/>
        <v>20.661046784</v>
      </c>
      <c r="P11" s="319">
        <f t="shared" si="6"/>
        <v>619831.40352</v>
      </c>
      <c r="Q11" s="320">
        <f t="shared" si="15"/>
        <v>28.3342694841191</v>
      </c>
      <c r="R11" s="319">
        <f t="shared" si="7"/>
        <v>850028.084523574</v>
      </c>
    </row>
    <row r="12" spans="1:18">
      <c r="A12" s="321">
        <v>45962</v>
      </c>
      <c r="B12" s="319">
        <v>0</v>
      </c>
      <c r="C12" s="320">
        <f t="shared" si="8"/>
        <v>2.5937424601</v>
      </c>
      <c r="D12" s="319">
        <f t="shared" si="0"/>
        <v>77812.273803</v>
      </c>
      <c r="E12" s="320">
        <f t="shared" si="9"/>
        <v>4.04555773570791</v>
      </c>
      <c r="F12" s="319">
        <f t="shared" si="1"/>
        <v>121366.732071237</v>
      </c>
      <c r="G12" s="320">
        <f t="shared" si="10"/>
        <v>6.1917364224</v>
      </c>
      <c r="H12" s="319">
        <f t="shared" si="2"/>
        <v>185752.092672</v>
      </c>
      <c r="I12" s="320">
        <f t="shared" si="11"/>
        <v>9.31322574615479</v>
      </c>
      <c r="J12" s="319">
        <f t="shared" si="3"/>
        <v>279396.772384644</v>
      </c>
      <c r="K12" s="320">
        <f t="shared" si="12"/>
        <v>13.7858491849</v>
      </c>
      <c r="L12" s="319">
        <f t="shared" si="4"/>
        <v>413575.475547</v>
      </c>
      <c r="M12" s="320">
        <f t="shared" si="13"/>
        <v>20.1065558686181</v>
      </c>
      <c r="N12" s="319">
        <f t="shared" si="5"/>
        <v>603196.676058542</v>
      </c>
      <c r="O12" s="320">
        <f t="shared" si="14"/>
        <v>28.9254654976</v>
      </c>
      <c r="P12" s="319">
        <f t="shared" si="6"/>
        <v>867763.964928</v>
      </c>
      <c r="Q12" s="320">
        <f t="shared" si="15"/>
        <v>41.0846907519727</v>
      </c>
      <c r="R12" s="319">
        <f t="shared" si="7"/>
        <v>1232540.72255918</v>
      </c>
    </row>
    <row r="13" spans="1:18">
      <c r="A13" s="321">
        <v>45992</v>
      </c>
      <c r="B13" s="319">
        <v>0</v>
      </c>
      <c r="C13" s="320">
        <f t="shared" si="8"/>
        <v>2.85311670611</v>
      </c>
      <c r="D13" s="319">
        <f t="shared" si="0"/>
        <v>85593.5011833</v>
      </c>
      <c r="E13" s="320">
        <f t="shared" si="9"/>
        <v>4.65239139606409</v>
      </c>
      <c r="F13" s="319">
        <f t="shared" si="1"/>
        <v>139571.741881923</v>
      </c>
      <c r="G13" s="320">
        <f t="shared" si="10"/>
        <v>7.43008370688</v>
      </c>
      <c r="H13" s="319">
        <f t="shared" si="2"/>
        <v>222902.5112064</v>
      </c>
      <c r="I13" s="320">
        <f t="shared" si="11"/>
        <v>11.6415321826935</v>
      </c>
      <c r="J13" s="319">
        <f t="shared" si="3"/>
        <v>349245.965480804</v>
      </c>
      <c r="K13" s="320">
        <f t="shared" si="12"/>
        <v>17.92160394037</v>
      </c>
      <c r="L13" s="319">
        <f t="shared" si="4"/>
        <v>537648.1182111</v>
      </c>
      <c r="M13" s="320">
        <f t="shared" si="13"/>
        <v>27.1438504226344</v>
      </c>
      <c r="N13" s="319">
        <f t="shared" si="5"/>
        <v>814315.512679032</v>
      </c>
      <c r="O13" s="320">
        <f t="shared" si="14"/>
        <v>40.49565169664</v>
      </c>
      <c r="P13" s="319">
        <f t="shared" si="6"/>
        <v>1214869.5508992</v>
      </c>
      <c r="Q13" s="320">
        <f t="shared" si="15"/>
        <v>59.5728015903605</v>
      </c>
      <c r="R13" s="319">
        <f t="shared" si="7"/>
        <v>1787184.04771081</v>
      </c>
    </row>
    <row r="14" spans="1:18">
      <c r="A14" s="325"/>
      <c r="B14" s="326"/>
      <c r="C14" s="327"/>
      <c r="D14" s="326"/>
      <c r="E14" s="327"/>
      <c r="F14" s="326"/>
      <c r="G14" s="327"/>
      <c r="H14" s="326"/>
      <c r="I14" s="327"/>
      <c r="J14" s="326"/>
      <c r="K14" s="327"/>
      <c r="L14" s="326"/>
      <c r="M14" s="327"/>
      <c r="N14" s="326"/>
      <c r="O14" s="327"/>
      <c r="P14" s="326"/>
      <c r="Q14" s="327"/>
      <c r="R14" s="326"/>
    </row>
    <row r="15" spans="1:21">
      <c r="A15" s="78" t="s">
        <v>44</v>
      </c>
      <c r="B15" s="328" t="s">
        <v>45</v>
      </c>
      <c r="C15" s="329" t="s">
        <v>46</v>
      </c>
      <c r="D15" s="330" t="s">
        <v>36</v>
      </c>
      <c r="E15" s="329" t="s">
        <v>47</v>
      </c>
      <c r="F15" s="331" t="s">
        <v>36</v>
      </c>
      <c r="G15" s="329" t="s">
        <v>48</v>
      </c>
      <c r="H15" s="330" t="s">
        <v>36</v>
      </c>
      <c r="I15" s="329" t="s">
        <v>49</v>
      </c>
      <c r="J15" s="330" t="s">
        <v>36</v>
      </c>
      <c r="K15" s="330" t="s">
        <v>34</v>
      </c>
      <c r="L15" s="330" t="s">
        <v>50</v>
      </c>
      <c r="M15" s="328" t="s">
        <v>51</v>
      </c>
      <c r="N15" s="88" t="s">
        <v>52</v>
      </c>
      <c r="O15" s="334" t="s">
        <v>53</v>
      </c>
      <c r="P15" s="88" t="s">
        <v>54</v>
      </c>
      <c r="Q15" s="346"/>
      <c r="R15" s="88"/>
      <c r="S15" s="88"/>
      <c r="T15" s="328" t="s">
        <v>55</v>
      </c>
      <c r="U15" s="328" t="s">
        <v>56</v>
      </c>
    </row>
    <row r="16" spans="1:40">
      <c r="A16" s="78">
        <v>45586</v>
      </c>
      <c r="B16" s="328"/>
      <c r="C16" s="329"/>
      <c r="D16" s="332"/>
      <c r="E16" s="329"/>
      <c r="F16" s="332"/>
      <c r="G16" s="329"/>
      <c r="H16" s="332"/>
      <c r="I16" s="329"/>
      <c r="J16" s="332"/>
      <c r="K16" s="330">
        <v>0</v>
      </c>
      <c r="L16" s="332">
        <v>24127.35</v>
      </c>
      <c r="M16" s="335">
        <v>0</v>
      </c>
      <c r="N16" s="335">
        <v>0</v>
      </c>
      <c r="O16" s="336">
        <v>24127.35</v>
      </c>
      <c r="P16" s="88"/>
      <c r="Q16" s="347"/>
      <c r="R16" s="335"/>
      <c r="S16" s="335"/>
      <c r="T16" s="348">
        <v>190</v>
      </c>
      <c r="U16" s="348">
        <v>0</v>
      </c>
      <c r="W16" s="349"/>
      <c r="Z16" s="354"/>
      <c r="AB16" s="355"/>
      <c r="AD16" s="355"/>
      <c r="AF16" s="355"/>
      <c r="AH16" s="355"/>
      <c r="AJ16" s="355"/>
      <c r="AL16" s="355"/>
      <c r="AN16" s="355"/>
    </row>
    <row r="17" spans="1:26">
      <c r="A17" s="78">
        <v>45587</v>
      </c>
      <c r="B17" s="328"/>
      <c r="C17" s="329"/>
      <c r="D17" s="332"/>
      <c r="E17" s="329"/>
      <c r="F17" s="333"/>
      <c r="G17" s="329"/>
      <c r="H17" s="332"/>
      <c r="I17" s="329"/>
      <c r="J17" s="332"/>
      <c r="K17" s="330">
        <v>0</v>
      </c>
      <c r="L17" s="332">
        <f t="shared" ref="L17:L46" si="16">IF(K17&gt;0,K17+O16,O16)</f>
        <v>24127.35</v>
      </c>
      <c r="M17" s="337">
        <f t="shared" ref="M17:M49" si="17">(O17-L17)/L17</f>
        <v>0.0793663622403621</v>
      </c>
      <c r="N17" s="335">
        <f>O17/($L$16+SUM($K$16:K17))-1</f>
        <v>0.0793663622403622</v>
      </c>
      <c r="O17" s="336">
        <v>26042.25</v>
      </c>
      <c r="P17" s="88"/>
      <c r="Q17" s="347"/>
      <c r="R17" s="335"/>
      <c r="S17" s="335"/>
      <c r="T17" s="348">
        <v>132</v>
      </c>
      <c r="U17" s="348">
        <v>0</v>
      </c>
      <c r="W17" s="349"/>
      <c r="Z17" s="354"/>
    </row>
    <row r="18" spans="1:26">
      <c r="A18" s="78">
        <v>45588</v>
      </c>
      <c r="B18" s="328"/>
      <c r="C18" s="329"/>
      <c r="D18" s="332"/>
      <c r="E18" s="329"/>
      <c r="F18" s="333"/>
      <c r="G18" s="329"/>
      <c r="H18" s="332"/>
      <c r="I18" s="329"/>
      <c r="J18" s="332"/>
      <c r="K18" s="330">
        <v>0</v>
      </c>
      <c r="L18" s="332">
        <f t="shared" si="16"/>
        <v>26042.25</v>
      </c>
      <c r="M18" s="337">
        <f t="shared" si="17"/>
        <v>0.00882796225364557</v>
      </c>
      <c r="N18" s="335">
        <f>O18/($L$16+SUM($K$16:K18))-1</f>
        <v>0.0888949677440749</v>
      </c>
      <c r="O18" s="336">
        <v>26272.15</v>
      </c>
      <c r="P18" s="88"/>
      <c r="Q18" s="347"/>
      <c r="R18" s="335"/>
      <c r="S18" s="335"/>
      <c r="T18" s="348">
        <v>127</v>
      </c>
      <c r="U18" s="348">
        <v>2</v>
      </c>
      <c r="W18" s="349"/>
      <c r="Z18" s="354"/>
    </row>
    <row r="19" spans="1:26">
      <c r="A19" s="78">
        <v>45589</v>
      </c>
      <c r="B19" s="328"/>
      <c r="C19" s="329"/>
      <c r="D19" s="332"/>
      <c r="E19" s="329"/>
      <c r="F19" s="333"/>
      <c r="G19" s="329"/>
      <c r="H19" s="332"/>
      <c r="I19" s="329"/>
      <c r="J19" s="332"/>
      <c r="K19" s="330">
        <v>0</v>
      </c>
      <c r="L19" s="338">
        <f t="shared" si="16"/>
        <v>26272.15</v>
      </c>
      <c r="M19" s="339">
        <f t="shared" si="17"/>
        <v>-0.00656170126921485</v>
      </c>
      <c r="N19" s="340">
        <f>O19/($L$16+SUM($K$16:K19))-1</f>
        <v>0.0817499642521868</v>
      </c>
      <c r="O19" s="341">
        <v>26099.76</v>
      </c>
      <c r="P19" s="88"/>
      <c r="Q19" s="350"/>
      <c r="R19" s="340"/>
      <c r="S19" s="340"/>
      <c r="T19" s="348">
        <v>133</v>
      </c>
      <c r="U19" s="348">
        <v>3</v>
      </c>
      <c r="W19" s="349"/>
      <c r="Z19" s="354"/>
    </row>
    <row r="20" spans="1:26">
      <c r="A20" s="118">
        <v>45590</v>
      </c>
      <c r="B20" s="328"/>
      <c r="C20" s="329"/>
      <c r="D20" s="332"/>
      <c r="E20" s="329"/>
      <c r="F20" s="333"/>
      <c r="G20" s="329"/>
      <c r="H20" s="332"/>
      <c r="I20" s="329"/>
      <c r="J20" s="332"/>
      <c r="K20" s="330">
        <v>0</v>
      </c>
      <c r="L20" s="332">
        <f t="shared" si="16"/>
        <v>26099.76</v>
      </c>
      <c r="M20" s="337">
        <f t="shared" si="17"/>
        <v>0.0340941832415318</v>
      </c>
      <c r="N20" s="335">
        <f>O20/($L$16+SUM($K$16:K20))-1</f>
        <v>0.118631345754921</v>
      </c>
      <c r="O20" s="336">
        <v>26989.61</v>
      </c>
      <c r="P20" s="88"/>
      <c r="Q20" s="347"/>
      <c r="R20" s="335"/>
      <c r="S20" s="335"/>
      <c r="T20" s="348">
        <v>191</v>
      </c>
      <c r="U20" s="348">
        <v>1</v>
      </c>
      <c r="W20" s="349"/>
      <c r="Z20" s="354"/>
    </row>
    <row r="21" spans="1:26">
      <c r="A21" s="78">
        <v>45593</v>
      </c>
      <c r="B21" s="328"/>
      <c r="C21" s="329"/>
      <c r="D21" s="332"/>
      <c r="E21" s="329"/>
      <c r="F21" s="333"/>
      <c r="G21" s="329"/>
      <c r="H21" s="332"/>
      <c r="I21" s="329"/>
      <c r="J21" s="332"/>
      <c r="K21" s="330">
        <v>6000</v>
      </c>
      <c r="L21" s="332">
        <f t="shared" si="16"/>
        <v>32989.61</v>
      </c>
      <c r="M21" s="337">
        <f t="shared" si="17"/>
        <v>0.0273128418311099</v>
      </c>
      <c r="N21" s="335">
        <f>O21/($L$16+SUM($K$16:K21))-1</f>
        <v>0.124913077320109</v>
      </c>
      <c r="O21" s="336">
        <v>33890.65</v>
      </c>
      <c r="P21" s="88"/>
      <c r="Q21" s="347"/>
      <c r="R21" s="335"/>
      <c r="S21" s="335"/>
      <c r="T21" s="348">
        <v>294</v>
      </c>
      <c r="U21" s="348">
        <v>1</v>
      </c>
      <c r="W21" s="349"/>
      <c r="Z21" s="354"/>
    </row>
    <row r="22" spans="1:26">
      <c r="A22" s="78">
        <v>45594</v>
      </c>
      <c r="B22" s="328"/>
      <c r="C22" s="329"/>
      <c r="D22" s="332"/>
      <c r="E22" s="329"/>
      <c r="F22" s="333"/>
      <c r="G22" s="329"/>
      <c r="H22" s="332"/>
      <c r="I22" s="329"/>
      <c r="J22" s="332"/>
      <c r="K22" s="330">
        <v>0</v>
      </c>
      <c r="L22" s="332">
        <f t="shared" si="16"/>
        <v>33890.65</v>
      </c>
      <c r="M22" s="335">
        <f t="shared" si="17"/>
        <v>0.0301274835389702</v>
      </c>
      <c r="N22" s="335">
        <f>O22/($L$16+SUM($K$16:K22))-1</f>
        <v>0.158803877539843</v>
      </c>
      <c r="O22" s="336">
        <v>34911.69</v>
      </c>
      <c r="P22" s="88"/>
      <c r="Q22" s="350"/>
      <c r="R22" s="340"/>
      <c r="S22" s="340"/>
      <c r="T22" s="348">
        <v>152</v>
      </c>
      <c r="U22" s="348">
        <v>19</v>
      </c>
      <c r="W22" s="349"/>
      <c r="Z22" s="354"/>
    </row>
    <row r="23" spans="1:26">
      <c r="A23" s="78">
        <v>45595</v>
      </c>
      <c r="B23" s="328"/>
      <c r="C23" s="329"/>
      <c r="D23" s="332"/>
      <c r="E23" s="329"/>
      <c r="F23" s="333"/>
      <c r="G23" s="329"/>
      <c r="H23" s="332"/>
      <c r="I23" s="329"/>
      <c r="J23" s="332"/>
      <c r="K23" s="330">
        <v>0</v>
      </c>
      <c r="L23" s="332">
        <f t="shared" si="16"/>
        <v>34911.69</v>
      </c>
      <c r="M23" s="335">
        <f t="shared" si="17"/>
        <v>0.0929777389751111</v>
      </c>
      <c r="N23" s="335">
        <f>O23/($L$16+SUM($K$16:K23))-1</f>
        <v>0.26654684198909</v>
      </c>
      <c r="O23" s="336">
        <v>38157.7</v>
      </c>
      <c r="P23" s="88"/>
      <c r="Q23" s="350"/>
      <c r="R23" s="340"/>
      <c r="S23" s="340"/>
      <c r="T23" s="348">
        <v>194</v>
      </c>
      <c r="U23" s="348">
        <v>8</v>
      </c>
      <c r="W23" s="349"/>
      <c r="Z23" s="354"/>
    </row>
    <row r="24" spans="1:26">
      <c r="A24" s="78">
        <v>45596</v>
      </c>
      <c r="B24" s="328"/>
      <c r="C24" s="329"/>
      <c r="D24" s="332"/>
      <c r="E24" s="329"/>
      <c r="F24" s="333"/>
      <c r="G24" s="329"/>
      <c r="H24" s="332"/>
      <c r="I24" s="329"/>
      <c r="J24" s="332"/>
      <c r="K24" s="330">
        <v>0</v>
      </c>
      <c r="L24" s="332">
        <f t="shared" si="16"/>
        <v>38157.7</v>
      </c>
      <c r="M24" s="335">
        <f t="shared" si="17"/>
        <v>0.0605906540488551</v>
      </c>
      <c r="N24" s="335">
        <f>O24/($L$16+SUM($K$16:K24))-1</f>
        <v>0.34328774352872</v>
      </c>
      <c r="O24" s="336">
        <v>40469.7</v>
      </c>
      <c r="P24" s="88"/>
      <c r="Q24" s="347"/>
      <c r="R24" s="335"/>
      <c r="S24" s="335"/>
      <c r="T24" s="348">
        <v>212</v>
      </c>
      <c r="U24" s="348">
        <v>14</v>
      </c>
      <c r="W24" s="349"/>
      <c r="Z24" s="354"/>
    </row>
    <row r="25" spans="1:26">
      <c r="A25" s="118">
        <v>45597</v>
      </c>
      <c r="B25" s="328"/>
      <c r="C25" s="329"/>
      <c r="D25" s="332"/>
      <c r="E25" s="329"/>
      <c r="F25" s="333"/>
      <c r="G25" s="329"/>
      <c r="H25" s="332"/>
      <c r="I25" s="329"/>
      <c r="J25" s="332"/>
      <c r="K25" s="330">
        <v>0</v>
      </c>
      <c r="L25" s="338">
        <f t="shared" si="16"/>
        <v>40469.7</v>
      </c>
      <c r="M25" s="340">
        <f t="shared" si="17"/>
        <v>-0.0734248091782246</v>
      </c>
      <c r="N25" s="340">
        <f>O25/($L$16+SUM($K$16:K25))-1</f>
        <v>0.244657097288676</v>
      </c>
      <c r="O25" s="341">
        <v>37498.22</v>
      </c>
      <c r="P25" s="88"/>
      <c r="Q25" s="350"/>
      <c r="R25" s="340"/>
      <c r="S25" s="340"/>
      <c r="T25" s="348">
        <v>124</v>
      </c>
      <c r="U25" s="348">
        <v>165</v>
      </c>
      <c r="W25" s="349"/>
      <c r="Z25" s="354"/>
    </row>
    <row r="26" spans="1:26">
      <c r="A26" s="78">
        <v>45600</v>
      </c>
      <c r="B26" s="328"/>
      <c r="C26" s="329"/>
      <c r="D26" s="332"/>
      <c r="E26" s="329"/>
      <c r="F26" s="333"/>
      <c r="G26" s="329"/>
      <c r="H26" s="332"/>
      <c r="I26" s="329"/>
      <c r="J26" s="332"/>
      <c r="K26" s="330">
        <v>0</v>
      </c>
      <c r="L26" s="332">
        <f t="shared" si="16"/>
        <v>37498.22</v>
      </c>
      <c r="M26" s="335">
        <f t="shared" si="17"/>
        <v>0.0246038345286789</v>
      </c>
      <c r="N26" s="335">
        <f>O26/($L$16+SUM($K$16:K26))-1</f>
        <v>0.275280434555313</v>
      </c>
      <c r="O26" s="336">
        <v>38420.82</v>
      </c>
      <c r="P26" s="88"/>
      <c r="Q26" s="347"/>
      <c r="R26" s="335"/>
      <c r="S26" s="335"/>
      <c r="T26" s="348">
        <v>186</v>
      </c>
      <c r="U26" s="348">
        <v>43</v>
      </c>
      <c r="W26" s="349"/>
      <c r="Z26" s="354"/>
    </row>
    <row r="27" spans="1:26">
      <c r="A27" s="78">
        <v>45601</v>
      </c>
      <c r="B27" s="328"/>
      <c r="C27" s="329"/>
      <c r="D27" s="332"/>
      <c r="E27" s="329"/>
      <c r="F27" s="333"/>
      <c r="G27" s="329"/>
      <c r="H27" s="332"/>
      <c r="I27" s="329"/>
      <c r="J27" s="332"/>
      <c r="K27" s="330">
        <v>0</v>
      </c>
      <c r="L27" s="332">
        <f t="shared" si="16"/>
        <v>38420.82</v>
      </c>
      <c r="M27" s="335">
        <f t="shared" si="17"/>
        <v>0.0041839294424221</v>
      </c>
      <c r="N27" s="335">
        <f>O27/($L$16+SUM($K$16:K27))-1</f>
        <v>0.280616117912794</v>
      </c>
      <c r="O27" s="336">
        <v>38581.57</v>
      </c>
      <c r="P27" s="88"/>
      <c r="Q27" s="347"/>
      <c r="R27" s="335"/>
      <c r="S27" s="335"/>
      <c r="T27" s="348">
        <v>218</v>
      </c>
      <c r="U27" s="348">
        <v>2</v>
      </c>
      <c r="W27" s="349"/>
      <c r="Z27" s="354"/>
    </row>
    <row r="28" spans="1:26">
      <c r="A28" s="78">
        <v>45602</v>
      </c>
      <c r="B28" s="328"/>
      <c r="C28" s="329"/>
      <c r="D28" s="332"/>
      <c r="E28" s="329"/>
      <c r="F28" s="333"/>
      <c r="G28" s="329"/>
      <c r="H28" s="332"/>
      <c r="I28" s="329"/>
      <c r="J28" s="332"/>
      <c r="K28" s="330">
        <v>0</v>
      </c>
      <c r="L28" s="338">
        <f t="shared" si="16"/>
        <v>38581.57</v>
      </c>
      <c r="M28" s="340">
        <f t="shared" si="17"/>
        <v>-0.00426369377918006</v>
      </c>
      <c r="N28" s="340">
        <f>O28/($L$16+SUM($K$16:K28))-1</f>
        <v>0.275155962937331</v>
      </c>
      <c r="O28" s="341">
        <v>38417.07</v>
      </c>
      <c r="P28" s="88"/>
      <c r="Q28" s="350"/>
      <c r="R28" s="340"/>
      <c r="S28" s="340"/>
      <c r="T28" s="348">
        <v>181</v>
      </c>
      <c r="U28" s="348">
        <v>7</v>
      </c>
      <c r="W28" s="349"/>
      <c r="Z28" s="354"/>
    </row>
    <row r="29" spans="1:26">
      <c r="A29" s="78">
        <v>45603</v>
      </c>
      <c r="B29" s="328"/>
      <c r="C29" s="329"/>
      <c r="D29" s="332"/>
      <c r="E29" s="329"/>
      <c r="F29" s="333"/>
      <c r="G29" s="329"/>
      <c r="H29" s="332"/>
      <c r="I29" s="329"/>
      <c r="J29" s="332"/>
      <c r="K29" s="330">
        <v>0</v>
      </c>
      <c r="L29" s="332">
        <f t="shared" si="16"/>
        <v>38417.07</v>
      </c>
      <c r="M29" s="335">
        <f t="shared" si="17"/>
        <v>0.0109435727399304</v>
      </c>
      <c r="N29" s="335">
        <f>O29/($L$16+SUM($K$16:K29))-1</f>
        <v>0.289110724972492</v>
      </c>
      <c r="O29" s="336">
        <v>38837.49</v>
      </c>
      <c r="P29" s="88"/>
      <c r="Q29" s="347"/>
      <c r="R29" s="335"/>
      <c r="S29" s="335"/>
      <c r="T29" s="348">
        <v>233</v>
      </c>
      <c r="U29" s="348">
        <v>10</v>
      </c>
      <c r="W29" s="349"/>
      <c r="Z29" s="354"/>
    </row>
    <row r="30" spans="1:24">
      <c r="A30" s="118">
        <v>45604</v>
      </c>
      <c r="B30" s="328"/>
      <c r="C30" s="329"/>
      <c r="D30" s="332"/>
      <c r="E30" s="329"/>
      <c r="F30" s="333"/>
      <c r="G30" s="329"/>
      <c r="H30" s="332"/>
      <c r="I30" s="329"/>
      <c r="J30" s="332"/>
      <c r="K30" s="330">
        <v>0</v>
      </c>
      <c r="L30" s="332">
        <f t="shared" si="16"/>
        <v>38837.49</v>
      </c>
      <c r="M30" s="335">
        <f t="shared" si="17"/>
        <v>0.025875513582366</v>
      </c>
      <c r="N30" s="335">
        <f>O30/($L$16+SUM($K$16:K30))-1</f>
        <v>0.322467127045691</v>
      </c>
      <c r="O30" s="336">
        <v>39842.43</v>
      </c>
      <c r="P30" s="88"/>
      <c r="Q30" s="350"/>
      <c r="R30" s="340"/>
      <c r="S30" s="340"/>
      <c r="T30" s="348">
        <v>155</v>
      </c>
      <c r="U30" s="348">
        <v>6</v>
      </c>
      <c r="W30" s="349"/>
      <c r="X30" s="349"/>
    </row>
    <row r="31" spans="1:24">
      <c r="A31" s="78">
        <v>45607</v>
      </c>
      <c r="B31" s="328"/>
      <c r="C31" s="329"/>
      <c r="D31" s="332"/>
      <c r="E31" s="329"/>
      <c r="F31" s="333"/>
      <c r="G31" s="329"/>
      <c r="H31" s="332"/>
      <c r="I31" s="329"/>
      <c r="J31" s="332"/>
      <c r="K31" s="330">
        <v>0</v>
      </c>
      <c r="L31" s="338">
        <f t="shared" si="16"/>
        <v>39842.43</v>
      </c>
      <c r="M31" s="340">
        <f t="shared" si="17"/>
        <v>-0.0302295818804224</v>
      </c>
      <c r="N31" s="340">
        <f>O31/($L$16+SUM($K$16:K31))-1</f>
        <v>0.282489498744496</v>
      </c>
      <c r="O31" s="341">
        <v>38638.01</v>
      </c>
      <c r="P31" s="88"/>
      <c r="Q31" s="347"/>
      <c r="R31" s="335"/>
      <c r="S31" s="335"/>
      <c r="T31" s="348">
        <v>213</v>
      </c>
      <c r="U31" s="348">
        <v>19</v>
      </c>
      <c r="W31" s="349"/>
      <c r="X31" s="349"/>
    </row>
    <row r="32" spans="1:24">
      <c r="A32" s="78">
        <v>45608</v>
      </c>
      <c r="B32" s="328"/>
      <c r="C32" s="329"/>
      <c r="D32" s="332"/>
      <c r="E32" s="329"/>
      <c r="F32" s="333"/>
      <c r="G32" s="329"/>
      <c r="H32" s="332"/>
      <c r="I32" s="329"/>
      <c r="J32" s="332"/>
      <c r="K32" s="330">
        <v>0</v>
      </c>
      <c r="L32" s="332">
        <f t="shared" si="16"/>
        <v>38638.01</v>
      </c>
      <c r="M32" s="335">
        <f t="shared" si="17"/>
        <v>0.0156478038077012</v>
      </c>
      <c r="N32" s="335">
        <f>O32/($L$16+SUM($K$16:K32))-1</f>
        <v>0.302557642806287</v>
      </c>
      <c r="O32" s="336">
        <v>39242.61</v>
      </c>
      <c r="P32" s="88"/>
      <c r="Q32" s="350"/>
      <c r="R32" s="340"/>
      <c r="S32" s="340"/>
      <c r="T32" s="348">
        <v>113</v>
      </c>
      <c r="U32" s="348">
        <v>20</v>
      </c>
      <c r="W32" s="349"/>
      <c r="X32" s="349"/>
    </row>
    <row r="33" spans="1:24">
      <c r="A33" s="78">
        <v>45609</v>
      </c>
      <c r="B33" s="328"/>
      <c r="C33" s="329"/>
      <c r="D33" s="332"/>
      <c r="E33" s="329"/>
      <c r="F33" s="333"/>
      <c r="G33" s="329"/>
      <c r="H33" s="332"/>
      <c r="I33" s="329"/>
      <c r="J33" s="332"/>
      <c r="K33" s="330">
        <v>0</v>
      </c>
      <c r="L33" s="332">
        <f t="shared" si="16"/>
        <v>39242.61</v>
      </c>
      <c r="M33" s="335">
        <f t="shared" si="17"/>
        <v>0.0012272374340034</v>
      </c>
      <c r="N33" s="335">
        <f>O33/($L$16+SUM($K$16:K33))-1</f>
        <v>0.304156190305487</v>
      </c>
      <c r="O33" s="336">
        <v>39290.77</v>
      </c>
      <c r="P33" s="88"/>
      <c r="Q33" s="347"/>
      <c r="R33" s="335"/>
      <c r="S33" s="335"/>
      <c r="T33" s="348">
        <v>89</v>
      </c>
      <c r="U33" s="348">
        <v>25</v>
      </c>
      <c r="W33" s="349"/>
      <c r="X33" s="349"/>
    </row>
    <row r="34" spans="1:24">
      <c r="A34" s="78">
        <v>45610</v>
      </c>
      <c r="B34" s="328"/>
      <c r="C34" s="329"/>
      <c r="D34" s="332"/>
      <c r="E34" s="329"/>
      <c r="F34" s="333"/>
      <c r="G34" s="329"/>
      <c r="H34" s="332"/>
      <c r="I34" s="329"/>
      <c r="J34" s="332"/>
      <c r="K34" s="330">
        <v>0</v>
      </c>
      <c r="L34" s="338">
        <f t="shared" si="16"/>
        <v>39290.77</v>
      </c>
      <c r="M34" s="340">
        <f t="shared" si="17"/>
        <v>-0.0520694809493425</v>
      </c>
      <c r="N34" s="340">
        <f>O34/($L$16+SUM($K$16:K34))-1</f>
        <v>0.236249454399408</v>
      </c>
      <c r="O34" s="341">
        <v>37244.92</v>
      </c>
      <c r="P34" s="88"/>
      <c r="Q34" s="350"/>
      <c r="R34" s="340"/>
      <c r="S34" s="340"/>
      <c r="T34" s="348">
        <v>58</v>
      </c>
      <c r="U34" s="348">
        <v>26</v>
      </c>
      <c r="W34" s="349"/>
      <c r="X34" s="349"/>
    </row>
    <row r="35" spans="1:24">
      <c r="A35" s="118">
        <v>45611</v>
      </c>
      <c r="B35" s="328"/>
      <c r="C35" s="329"/>
      <c r="D35" s="332"/>
      <c r="E35" s="329"/>
      <c r="F35" s="333"/>
      <c r="G35" s="329"/>
      <c r="H35" s="332"/>
      <c r="I35" s="329"/>
      <c r="J35" s="332"/>
      <c r="K35" s="330">
        <v>0</v>
      </c>
      <c r="L35" s="338">
        <f t="shared" si="16"/>
        <v>37244.92</v>
      </c>
      <c r="M35" s="340">
        <f t="shared" si="17"/>
        <v>-0.0434843194722931</v>
      </c>
      <c r="N35" s="340">
        <f>O35/($L$16+SUM($K$16:K35))-1</f>
        <v>0.182491988176856</v>
      </c>
      <c r="O35" s="341">
        <v>35625.35</v>
      </c>
      <c r="P35" s="88"/>
      <c r="Q35" s="350"/>
      <c r="R35" s="340"/>
      <c r="S35" s="340"/>
      <c r="T35" s="348">
        <v>81</v>
      </c>
      <c r="U35" s="348">
        <v>54</v>
      </c>
      <c r="W35" s="349"/>
      <c r="X35" s="349"/>
    </row>
    <row r="36" spans="1:24">
      <c r="A36" s="78">
        <v>45614</v>
      </c>
      <c r="B36" s="328"/>
      <c r="C36" s="329"/>
      <c r="D36" s="332"/>
      <c r="E36" s="329"/>
      <c r="F36" s="333"/>
      <c r="G36" s="329"/>
      <c r="H36" s="332"/>
      <c r="I36" s="329"/>
      <c r="J36" s="332"/>
      <c r="K36" s="330">
        <v>0</v>
      </c>
      <c r="L36" s="338">
        <f t="shared" si="16"/>
        <v>35625.35</v>
      </c>
      <c r="M36" s="340">
        <f t="shared" si="17"/>
        <v>-0.0310023620820568</v>
      </c>
      <c r="N36" s="340">
        <f>O36/($L$16+SUM($K$16:K36))-1</f>
        <v>0.145831943400266</v>
      </c>
      <c r="O36" s="341">
        <v>34520.88</v>
      </c>
      <c r="P36" s="88"/>
      <c r="Q36" s="350"/>
      <c r="R36" s="340"/>
      <c r="S36" s="340"/>
      <c r="T36" s="348">
        <v>81</v>
      </c>
      <c r="U36" s="348">
        <v>55</v>
      </c>
      <c r="W36" s="349"/>
      <c r="X36" s="349"/>
    </row>
    <row r="37" spans="1:24">
      <c r="A37" s="78">
        <v>45615</v>
      </c>
      <c r="B37" s="328"/>
      <c r="C37" s="329"/>
      <c r="D37" s="332"/>
      <c r="E37" s="329"/>
      <c r="F37" s="333"/>
      <c r="G37" s="329"/>
      <c r="H37" s="332"/>
      <c r="I37" s="329"/>
      <c r="J37" s="332"/>
      <c r="K37" s="330">
        <v>0</v>
      </c>
      <c r="L37" s="342">
        <f t="shared" si="16"/>
        <v>34520.88</v>
      </c>
      <c r="M37" s="343">
        <f t="shared" si="17"/>
        <v>0</v>
      </c>
      <c r="N37" s="343">
        <f>O37/($L$16+SUM($K$16:K37))-1</f>
        <v>0.145831943400266</v>
      </c>
      <c r="O37" s="344">
        <v>34520.88</v>
      </c>
      <c r="P37" s="88"/>
      <c r="Q37" s="347"/>
      <c r="R37" s="335"/>
      <c r="S37" s="335"/>
      <c r="T37" s="348">
        <v>95</v>
      </c>
      <c r="U37" s="348">
        <v>12</v>
      </c>
      <c r="W37" s="349"/>
      <c r="X37" s="349"/>
    </row>
    <row r="38" spans="1:24">
      <c r="A38" s="78">
        <v>45616</v>
      </c>
      <c r="B38" s="328"/>
      <c r="C38" s="329"/>
      <c r="D38" s="332"/>
      <c r="E38" s="329"/>
      <c r="F38" s="333"/>
      <c r="G38" s="329"/>
      <c r="H38" s="332"/>
      <c r="I38" s="329"/>
      <c r="J38" s="332"/>
      <c r="K38" s="330">
        <v>0</v>
      </c>
      <c r="L38" s="342">
        <f t="shared" si="16"/>
        <v>34520.88</v>
      </c>
      <c r="M38" s="343">
        <f t="shared" si="17"/>
        <v>0</v>
      </c>
      <c r="N38" s="343">
        <f>O38/($L$16+SUM($K$16:K38))-1</f>
        <v>0.145831943400266</v>
      </c>
      <c r="O38" s="344">
        <v>34520.88</v>
      </c>
      <c r="P38" s="88"/>
      <c r="Q38" s="347"/>
      <c r="R38" s="335"/>
      <c r="S38" s="335"/>
      <c r="T38" s="348">
        <v>151</v>
      </c>
      <c r="U38" s="348">
        <v>2</v>
      </c>
      <c r="W38" s="349"/>
      <c r="X38" s="349"/>
    </row>
    <row r="39" spans="1:24">
      <c r="A39" s="78">
        <v>45617</v>
      </c>
      <c r="B39" s="328"/>
      <c r="C39" s="329"/>
      <c r="D39" s="332"/>
      <c r="E39" s="329"/>
      <c r="F39" s="333"/>
      <c r="G39" s="329"/>
      <c r="H39" s="332"/>
      <c r="I39" s="329"/>
      <c r="J39" s="332"/>
      <c r="K39" s="330">
        <v>0</v>
      </c>
      <c r="L39" s="342">
        <f t="shared" si="16"/>
        <v>34520.88</v>
      </c>
      <c r="M39" s="343">
        <f t="shared" si="17"/>
        <v>0</v>
      </c>
      <c r="N39" s="343">
        <f>O39/($L$16+SUM($K$16:K39))-1</f>
        <v>0.145831943400266</v>
      </c>
      <c r="O39" s="344">
        <v>34520.88</v>
      </c>
      <c r="P39" s="88"/>
      <c r="Q39" s="347"/>
      <c r="R39" s="335"/>
      <c r="S39" s="335"/>
      <c r="T39" s="348">
        <v>105</v>
      </c>
      <c r="U39" s="348">
        <v>3</v>
      </c>
      <c r="W39" s="349"/>
      <c r="X39" s="349"/>
    </row>
    <row r="40" spans="1:24">
      <c r="A40" s="118">
        <v>45618</v>
      </c>
      <c r="B40" s="328"/>
      <c r="C40" s="329"/>
      <c r="D40" s="332"/>
      <c r="E40" s="329"/>
      <c r="F40" s="333"/>
      <c r="G40" s="329"/>
      <c r="H40" s="332"/>
      <c r="I40" s="329"/>
      <c r="J40" s="332"/>
      <c r="K40" s="330">
        <v>0</v>
      </c>
      <c r="L40" s="342">
        <f t="shared" si="16"/>
        <v>34520.88</v>
      </c>
      <c r="M40" s="343">
        <f t="shared" si="17"/>
        <v>0</v>
      </c>
      <c r="N40" s="343">
        <f>O40/($L$16+SUM($K$16:K40))-1</f>
        <v>0.145831943400266</v>
      </c>
      <c r="O40" s="344">
        <v>34520.88</v>
      </c>
      <c r="P40" s="88"/>
      <c r="Q40" s="350"/>
      <c r="R40" s="340"/>
      <c r="S40" s="340"/>
      <c r="T40" s="348">
        <v>70</v>
      </c>
      <c r="U40" s="348">
        <v>6</v>
      </c>
      <c r="W40" s="349"/>
      <c r="X40" s="349"/>
    </row>
    <row r="41" spans="1:24">
      <c r="A41" s="78">
        <v>45621</v>
      </c>
      <c r="B41" s="328"/>
      <c r="C41" s="329"/>
      <c r="D41" s="332"/>
      <c r="E41" s="329"/>
      <c r="F41" s="333"/>
      <c r="G41" s="329"/>
      <c r="H41" s="332"/>
      <c r="I41" s="329"/>
      <c r="J41" s="332"/>
      <c r="K41" s="330">
        <v>0</v>
      </c>
      <c r="L41" s="332">
        <f t="shared" si="16"/>
        <v>34520.88</v>
      </c>
      <c r="M41" s="335">
        <f t="shared" si="17"/>
        <v>0.000423222119482487</v>
      </c>
      <c r="N41" s="335">
        <f>O41/($L$16+SUM($K$16:K41))-1</f>
        <v>0.146316884823922</v>
      </c>
      <c r="O41" s="336">
        <v>34535.49</v>
      </c>
      <c r="P41" s="88"/>
      <c r="Q41" s="350"/>
      <c r="R41" s="340"/>
      <c r="S41" s="340"/>
      <c r="T41" s="348">
        <v>154</v>
      </c>
      <c r="U41" s="348">
        <v>7</v>
      </c>
      <c r="W41" s="349"/>
      <c r="X41" s="349"/>
    </row>
    <row r="42" spans="1:24">
      <c r="A42" s="78">
        <v>45622</v>
      </c>
      <c r="B42" s="328"/>
      <c r="C42" s="329"/>
      <c r="D42" s="332"/>
      <c r="E42" s="329"/>
      <c r="F42" s="333"/>
      <c r="G42" s="329"/>
      <c r="H42" s="332"/>
      <c r="I42" s="329"/>
      <c r="J42" s="332"/>
      <c r="K42" s="330">
        <v>0</v>
      </c>
      <c r="L42" s="338">
        <f t="shared" si="16"/>
        <v>34535.49</v>
      </c>
      <c r="M42" s="340">
        <f t="shared" si="17"/>
        <v>-0.0418372520557836</v>
      </c>
      <c r="N42" s="340">
        <f>O42/($L$16+SUM($K$16:K42))-1</f>
        <v>0.0983581363777433</v>
      </c>
      <c r="O42" s="341">
        <v>33090.62</v>
      </c>
      <c r="P42" s="88"/>
      <c r="Q42" s="350"/>
      <c r="R42" s="340"/>
      <c r="S42" s="340"/>
      <c r="T42" s="348">
        <v>106</v>
      </c>
      <c r="U42" s="348">
        <v>65</v>
      </c>
      <c r="W42" s="349"/>
      <c r="X42" s="349"/>
    </row>
    <row r="43" spans="1:24">
      <c r="A43" s="78">
        <v>45623</v>
      </c>
      <c r="B43" s="328"/>
      <c r="C43" s="329"/>
      <c r="D43" s="332"/>
      <c r="E43" s="329"/>
      <c r="F43" s="333"/>
      <c r="G43" s="329"/>
      <c r="H43" s="332"/>
      <c r="I43" s="329"/>
      <c r="J43" s="332"/>
      <c r="K43" s="330">
        <v>0</v>
      </c>
      <c r="L43" s="332">
        <f t="shared" si="16"/>
        <v>33090.62</v>
      </c>
      <c r="M43" s="335">
        <f t="shared" si="17"/>
        <v>0.00217886518898705</v>
      </c>
      <c r="N43" s="335">
        <f>O43/($L$16+SUM($K$16:K43))-1</f>
        <v>0.100751310686138</v>
      </c>
      <c r="O43" s="336">
        <v>33162.72</v>
      </c>
      <c r="P43" s="88"/>
      <c r="Q43" s="347"/>
      <c r="R43" s="335"/>
      <c r="S43" s="335"/>
      <c r="T43" s="348">
        <v>108</v>
      </c>
      <c r="U43" s="348">
        <v>22</v>
      </c>
      <c r="W43" s="349"/>
      <c r="X43" s="349"/>
    </row>
    <row r="44" spans="1:40">
      <c r="A44" s="78">
        <v>45624</v>
      </c>
      <c r="B44" s="328"/>
      <c r="C44" s="329"/>
      <c r="D44" s="332"/>
      <c r="E44" s="329"/>
      <c r="F44" s="333"/>
      <c r="G44" s="329"/>
      <c r="H44" s="332"/>
      <c r="I44" s="329"/>
      <c r="J44" s="332"/>
      <c r="K44" s="330">
        <v>0</v>
      </c>
      <c r="L44" s="338">
        <f t="shared" si="16"/>
        <v>33162.72</v>
      </c>
      <c r="M44" s="340">
        <f t="shared" si="17"/>
        <v>-0.00231886889857049</v>
      </c>
      <c r="N44" s="340">
        <f>O44/($L$16+SUM($K$16:K44))-1</f>
        <v>0.0981988127067266</v>
      </c>
      <c r="O44" s="345">
        <v>33085.82</v>
      </c>
      <c r="P44" s="88"/>
      <c r="Q44" s="350"/>
      <c r="R44" s="340"/>
      <c r="S44" s="340"/>
      <c r="T44" s="348">
        <v>113</v>
      </c>
      <c r="U44" s="348">
        <v>7</v>
      </c>
      <c r="W44" s="351"/>
      <c r="X44" s="351"/>
      <c r="Y44" s="356"/>
      <c r="Z44" s="351"/>
      <c r="AA44" s="356"/>
      <c r="AB44" s="351"/>
      <c r="AC44" s="356"/>
      <c r="AD44" s="351"/>
      <c r="AE44" s="356"/>
      <c r="AF44" s="351"/>
      <c r="AG44" s="356"/>
      <c r="AH44" s="351"/>
      <c r="AI44" s="356"/>
      <c r="AJ44" s="351"/>
      <c r="AK44" s="356"/>
      <c r="AL44" s="351"/>
      <c r="AM44" s="356"/>
      <c r="AN44" s="351"/>
    </row>
    <row r="45" spans="1:40">
      <c r="A45" s="118">
        <v>45625</v>
      </c>
      <c r="B45" s="328"/>
      <c r="C45" s="329"/>
      <c r="D45" s="332"/>
      <c r="E45" s="329"/>
      <c r="F45" s="333"/>
      <c r="G45" s="329"/>
      <c r="H45" s="332"/>
      <c r="I45" s="329"/>
      <c r="J45" s="332"/>
      <c r="K45" s="330">
        <v>0</v>
      </c>
      <c r="L45" s="332">
        <f t="shared" si="16"/>
        <v>33085.82</v>
      </c>
      <c r="M45" s="335">
        <f t="shared" si="17"/>
        <v>0.100073082668043</v>
      </c>
      <c r="N45" s="335">
        <f>O45/($L$16+SUM($K$16:K45))-1</f>
        <v>0.208098953276674</v>
      </c>
      <c r="O45" s="336">
        <v>36396.82</v>
      </c>
      <c r="P45" s="88"/>
      <c r="Q45" s="347"/>
      <c r="R45" s="335"/>
      <c r="S45" s="335"/>
      <c r="T45" s="348">
        <v>144</v>
      </c>
      <c r="U45" s="348">
        <v>11</v>
      </c>
      <c r="W45" s="352"/>
      <c r="X45" s="351"/>
      <c r="Y45" s="357"/>
      <c r="Z45" s="358"/>
      <c r="AA45" s="357"/>
      <c r="AB45" s="358"/>
      <c r="AC45" s="357"/>
      <c r="AD45" s="358"/>
      <c r="AE45" s="357"/>
      <c r="AF45" s="358"/>
      <c r="AG45" s="357"/>
      <c r="AH45" s="358"/>
      <c r="AI45" s="357"/>
      <c r="AJ45" s="358"/>
      <c r="AK45" s="357"/>
      <c r="AL45" s="358"/>
      <c r="AM45" s="357"/>
      <c r="AN45" s="358"/>
    </row>
    <row r="46" spans="1:40">
      <c r="A46" s="78">
        <v>45628</v>
      </c>
      <c r="B46" s="328"/>
      <c r="C46" s="329"/>
      <c r="D46" s="332"/>
      <c r="E46" s="329"/>
      <c r="F46" s="333"/>
      <c r="G46" s="329"/>
      <c r="H46" s="332"/>
      <c r="I46" s="329"/>
      <c r="J46" s="332"/>
      <c r="K46" s="330">
        <v>0</v>
      </c>
      <c r="L46" s="332">
        <f t="shared" si="16"/>
        <v>36396.82</v>
      </c>
      <c r="M46" s="335">
        <f t="shared" si="17"/>
        <v>0.0994317635441778</v>
      </c>
      <c r="N46" s="335">
        <f>O46/($L$16+SUM($K$16:K46))-1</f>
        <v>0.328222362736849</v>
      </c>
      <c r="O46" s="336">
        <v>40015.82</v>
      </c>
      <c r="P46" s="88"/>
      <c r="Q46" s="347"/>
      <c r="R46" s="335"/>
      <c r="S46" s="335"/>
      <c r="T46" s="348">
        <v>185</v>
      </c>
      <c r="U46" s="348">
        <v>6</v>
      </c>
      <c r="W46" s="352"/>
      <c r="X46" s="351"/>
      <c r="Y46" s="356"/>
      <c r="Z46" s="351"/>
      <c r="AA46" s="356"/>
      <c r="AB46" s="351"/>
      <c r="AC46" s="356"/>
      <c r="AD46" s="351"/>
      <c r="AE46" s="356"/>
      <c r="AF46" s="351"/>
      <c r="AG46" s="356"/>
      <c r="AH46" s="351"/>
      <c r="AI46" s="356"/>
      <c r="AJ46" s="351"/>
      <c r="AK46" s="356"/>
      <c r="AL46" s="351"/>
      <c r="AM46" s="356"/>
      <c r="AN46" s="351"/>
    </row>
    <row r="47" spans="1:40">
      <c r="A47" s="78">
        <v>45629</v>
      </c>
      <c r="B47" s="328"/>
      <c r="C47" s="329"/>
      <c r="D47" s="332"/>
      <c r="E47" s="329"/>
      <c r="F47" s="333"/>
      <c r="G47" s="329"/>
      <c r="H47" s="332"/>
      <c r="I47" s="329"/>
      <c r="J47" s="332"/>
      <c r="K47" s="330">
        <v>0</v>
      </c>
      <c r="L47" s="332">
        <f t="shared" ref="L47:L110" si="18">IF(K47&gt;0,K47+O46,O46)</f>
        <v>40015.82</v>
      </c>
      <c r="M47" s="335">
        <f t="shared" si="17"/>
        <v>0.100060426101477</v>
      </c>
      <c r="N47" s="335">
        <f>O47/($L$16+SUM($K$16:K47))-1</f>
        <v>0.461124858309808</v>
      </c>
      <c r="O47" s="336">
        <v>44019.82</v>
      </c>
      <c r="P47" s="88"/>
      <c r="Q47" s="347"/>
      <c r="R47" s="335"/>
      <c r="S47" s="335"/>
      <c r="T47" s="348">
        <v>134</v>
      </c>
      <c r="U47" s="348">
        <v>6</v>
      </c>
      <c r="W47" s="352"/>
      <c r="X47" s="351"/>
      <c r="Y47" s="356"/>
      <c r="Z47" s="351"/>
      <c r="AA47" s="356"/>
      <c r="AB47" s="351"/>
      <c r="AC47" s="356"/>
      <c r="AD47" s="351"/>
      <c r="AE47" s="356"/>
      <c r="AF47" s="351"/>
      <c r="AG47" s="356"/>
      <c r="AH47" s="351"/>
      <c r="AI47" s="356"/>
      <c r="AJ47" s="351"/>
      <c r="AK47" s="356"/>
      <c r="AL47" s="351"/>
      <c r="AM47" s="356"/>
      <c r="AN47" s="351"/>
    </row>
    <row r="48" spans="1:40">
      <c r="A48" s="78">
        <v>45630</v>
      </c>
      <c r="B48" s="328"/>
      <c r="C48" s="329"/>
      <c r="D48" s="332"/>
      <c r="E48" s="329"/>
      <c r="F48" s="333"/>
      <c r="G48" s="329"/>
      <c r="H48" s="332"/>
      <c r="I48" s="329"/>
      <c r="J48" s="332"/>
      <c r="K48" s="330">
        <v>0</v>
      </c>
      <c r="L48" s="332">
        <f t="shared" si="18"/>
        <v>44019.82</v>
      </c>
      <c r="M48" s="335">
        <f t="shared" si="17"/>
        <v>0.0997050873901801</v>
      </c>
      <c r="N48" s="335">
        <f>O48/($L$16+SUM($K$16:K48))-1</f>
        <v>0.606806439995552</v>
      </c>
      <c r="O48" s="336">
        <v>48408.82</v>
      </c>
      <c r="P48" s="88"/>
      <c r="Q48" s="350"/>
      <c r="R48" s="340"/>
      <c r="S48" s="340"/>
      <c r="T48" s="348">
        <v>97</v>
      </c>
      <c r="U48" s="348">
        <v>19</v>
      </c>
      <c r="W48" s="352"/>
      <c r="X48" s="351"/>
      <c r="Y48" s="356"/>
      <c r="Z48" s="351"/>
      <c r="AA48" s="356"/>
      <c r="AB48" s="351"/>
      <c r="AC48" s="356"/>
      <c r="AD48" s="351"/>
      <c r="AE48" s="356"/>
      <c r="AF48" s="351"/>
      <c r="AG48" s="356"/>
      <c r="AH48" s="351"/>
      <c r="AI48" s="356"/>
      <c r="AJ48" s="351"/>
      <c r="AK48" s="356"/>
      <c r="AL48" s="351"/>
      <c r="AM48" s="356"/>
      <c r="AN48" s="351"/>
    </row>
    <row r="49" spans="1:40">
      <c r="A49" s="78">
        <v>45631</v>
      </c>
      <c r="B49" s="328"/>
      <c r="C49" s="329"/>
      <c r="D49" s="332"/>
      <c r="E49" s="329"/>
      <c r="F49" s="333"/>
      <c r="G49" s="329"/>
      <c r="H49" s="332"/>
      <c r="I49" s="329"/>
      <c r="J49" s="332"/>
      <c r="K49" s="330">
        <v>0</v>
      </c>
      <c r="L49" s="332">
        <f t="shared" si="18"/>
        <v>48408.82</v>
      </c>
      <c r="M49" s="335">
        <f t="shared" si="17"/>
        <v>0.0986183922681858</v>
      </c>
      <c r="N49" s="335">
        <f>O49/($L$16+SUM($K$16:K49))-1</f>
        <v>0.765267107794081</v>
      </c>
      <c r="O49" s="336">
        <v>53182.82</v>
      </c>
      <c r="P49" s="88"/>
      <c r="Q49" s="347"/>
      <c r="R49" s="335"/>
      <c r="S49" s="335"/>
      <c r="T49" s="348">
        <v>142</v>
      </c>
      <c r="U49" s="348">
        <v>11</v>
      </c>
      <c r="W49" s="352"/>
      <c r="X49" s="351"/>
      <c r="Y49" s="356"/>
      <c r="Z49" s="351"/>
      <c r="AA49" s="356"/>
      <c r="AB49" s="351"/>
      <c r="AC49" s="356"/>
      <c r="AD49" s="351"/>
      <c r="AE49" s="356"/>
      <c r="AF49" s="351"/>
      <c r="AG49" s="356"/>
      <c r="AH49" s="351"/>
      <c r="AI49" s="356"/>
      <c r="AJ49" s="351"/>
      <c r="AK49" s="356"/>
      <c r="AL49" s="351"/>
      <c r="AM49" s="356"/>
      <c r="AN49" s="351"/>
    </row>
    <row r="50" spans="1:40">
      <c r="A50" s="118">
        <v>45632</v>
      </c>
      <c r="B50" s="328"/>
      <c r="C50" s="329"/>
      <c r="D50" s="332"/>
      <c r="E50" s="329"/>
      <c r="F50" s="333"/>
      <c r="G50" s="329"/>
      <c r="H50" s="332"/>
      <c r="I50" s="329"/>
      <c r="J50" s="332"/>
      <c r="K50" s="330">
        <v>0</v>
      </c>
      <c r="L50" s="332">
        <f t="shared" si="18"/>
        <v>53182.82</v>
      </c>
      <c r="M50" s="335">
        <f t="shared" ref="M50:M113" si="19">(O50-L50)/L50</f>
        <v>0.0194756502193753</v>
      </c>
      <c r="N50" s="335">
        <f>O50/($L$16+SUM($K$16:K50))-1</f>
        <v>0.799646832529247</v>
      </c>
      <c r="O50" s="336">
        <v>54218.59</v>
      </c>
      <c r="P50" s="88"/>
      <c r="Q50" s="347"/>
      <c r="R50" s="335"/>
      <c r="S50" s="335"/>
      <c r="T50" s="348">
        <v>134</v>
      </c>
      <c r="U50" s="348">
        <v>6</v>
      </c>
      <c r="W50" s="352"/>
      <c r="X50" s="351"/>
      <c r="Y50" s="356"/>
      <c r="Z50" s="351"/>
      <c r="AA50" s="356"/>
      <c r="AB50" s="351"/>
      <c r="AC50" s="356"/>
      <c r="AD50" s="351"/>
      <c r="AE50" s="356"/>
      <c r="AF50" s="351"/>
      <c r="AG50" s="356"/>
      <c r="AH50" s="351"/>
      <c r="AI50" s="356"/>
      <c r="AJ50" s="351"/>
      <c r="AK50" s="356"/>
      <c r="AL50" s="351"/>
      <c r="AM50" s="356"/>
      <c r="AN50" s="351"/>
    </row>
    <row r="51" spans="1:40">
      <c r="A51" s="78">
        <v>45635</v>
      </c>
      <c r="B51" s="328"/>
      <c r="C51" s="329"/>
      <c r="D51" s="332"/>
      <c r="E51" s="329"/>
      <c r="F51" s="333"/>
      <c r="G51" s="329"/>
      <c r="H51" s="332"/>
      <c r="I51" s="329"/>
      <c r="J51" s="332"/>
      <c r="K51" s="330">
        <v>0</v>
      </c>
      <c r="L51" s="332">
        <f t="shared" si="18"/>
        <v>54218.59</v>
      </c>
      <c r="M51" s="335">
        <f t="shared" si="19"/>
        <v>0.0656273060586784</v>
      </c>
      <c r="N51" s="335">
        <f>O51/($L$16+SUM($K$16:K51))-1</f>
        <v>0.917752806005175</v>
      </c>
      <c r="O51" s="336">
        <v>57776.81</v>
      </c>
      <c r="P51" s="88"/>
      <c r="Q51" s="350"/>
      <c r="R51" s="340"/>
      <c r="S51" s="340"/>
      <c r="T51" s="348">
        <v>118</v>
      </c>
      <c r="U51" s="348">
        <v>27</v>
      </c>
      <c r="W51" s="352"/>
      <c r="X51" s="351"/>
      <c r="Y51" s="356"/>
      <c r="Z51" s="351"/>
      <c r="AA51" s="356"/>
      <c r="AB51" s="351"/>
      <c r="AC51" s="356"/>
      <c r="AD51" s="351"/>
      <c r="AE51" s="356"/>
      <c r="AF51" s="351"/>
      <c r="AG51" s="356"/>
      <c r="AH51" s="351"/>
      <c r="AI51" s="356"/>
      <c r="AJ51" s="351"/>
      <c r="AK51" s="356"/>
      <c r="AL51" s="351"/>
      <c r="AM51" s="356"/>
      <c r="AN51" s="351"/>
    </row>
    <row r="52" spans="1:40">
      <c r="A52" s="78">
        <v>45636</v>
      </c>
      <c r="B52" s="328"/>
      <c r="C52" s="329"/>
      <c r="D52" s="332"/>
      <c r="E52" s="329"/>
      <c r="F52" s="333"/>
      <c r="G52" s="329"/>
      <c r="H52" s="332"/>
      <c r="I52" s="329"/>
      <c r="J52" s="332"/>
      <c r="K52" s="330">
        <v>0</v>
      </c>
      <c r="L52" s="338">
        <f t="shared" si="18"/>
        <v>57776.81</v>
      </c>
      <c r="M52" s="340">
        <f t="shared" si="19"/>
        <v>-0.0372883168870001</v>
      </c>
      <c r="N52" s="340">
        <f>O52/($L$16+SUM($K$16:K52))-1</f>
        <v>0.84624303166392</v>
      </c>
      <c r="O52" s="341">
        <v>55622.41</v>
      </c>
      <c r="P52" s="88"/>
      <c r="Q52" s="347"/>
      <c r="R52" s="335"/>
      <c r="S52" s="335"/>
      <c r="T52" s="348">
        <v>119</v>
      </c>
      <c r="U52" s="348">
        <v>6</v>
      </c>
      <c r="W52" s="352"/>
      <c r="X52" s="351"/>
      <c r="Y52" s="356"/>
      <c r="Z52" s="351"/>
      <c r="AA52" s="356"/>
      <c r="AB52" s="351"/>
      <c r="AC52" s="356"/>
      <c r="AD52" s="351"/>
      <c r="AE52" s="356"/>
      <c r="AF52" s="351"/>
      <c r="AG52" s="356"/>
      <c r="AH52" s="351"/>
      <c r="AI52" s="356"/>
      <c r="AJ52" s="351"/>
      <c r="AK52" s="356"/>
      <c r="AL52" s="351"/>
      <c r="AM52" s="356"/>
      <c r="AN52" s="351"/>
    </row>
    <row r="53" spans="1:40">
      <c r="A53" s="78">
        <v>45637</v>
      </c>
      <c r="B53" s="328"/>
      <c r="C53" s="329"/>
      <c r="D53" s="332"/>
      <c r="E53" s="329"/>
      <c r="F53" s="333"/>
      <c r="G53" s="329"/>
      <c r="H53" s="332"/>
      <c r="I53" s="329"/>
      <c r="J53" s="332"/>
      <c r="K53" s="330">
        <v>0</v>
      </c>
      <c r="L53" s="338">
        <f t="shared" si="18"/>
        <v>55622.41</v>
      </c>
      <c r="M53" s="340">
        <f t="shared" si="19"/>
        <v>-0.0411228136285358</v>
      </c>
      <c r="N53" s="340">
        <f>O53/($L$16+SUM($K$16:K53))-1</f>
        <v>0.770320323559822</v>
      </c>
      <c r="O53" s="341">
        <v>53335.06</v>
      </c>
      <c r="P53" s="88"/>
      <c r="Q53" s="347"/>
      <c r="R53" s="335"/>
      <c r="S53" s="335"/>
      <c r="T53" s="348">
        <v>156</v>
      </c>
      <c r="U53" s="348">
        <v>11</v>
      </c>
      <c r="W53" s="352"/>
      <c r="X53" s="351"/>
      <c r="Y53" s="356"/>
      <c r="Z53" s="351"/>
      <c r="AA53" s="356"/>
      <c r="AB53" s="351"/>
      <c r="AC53" s="356"/>
      <c r="AD53" s="351"/>
      <c r="AE53" s="356"/>
      <c r="AF53" s="351"/>
      <c r="AG53" s="356"/>
      <c r="AH53" s="351"/>
      <c r="AI53" s="356"/>
      <c r="AJ53" s="351"/>
      <c r="AK53" s="356"/>
      <c r="AL53" s="351"/>
      <c r="AM53" s="356"/>
      <c r="AN53" s="351"/>
    </row>
    <row r="54" spans="1:40">
      <c r="A54" s="78">
        <v>45638</v>
      </c>
      <c r="B54" s="328"/>
      <c r="C54" s="329"/>
      <c r="D54" s="332"/>
      <c r="E54" s="329"/>
      <c r="F54" s="333"/>
      <c r="G54" s="329"/>
      <c r="H54" s="332"/>
      <c r="I54" s="329"/>
      <c r="J54" s="332"/>
      <c r="K54" s="330">
        <v>0</v>
      </c>
      <c r="L54" s="332">
        <f t="shared" si="18"/>
        <v>53335.06</v>
      </c>
      <c r="M54" s="335">
        <f t="shared" si="19"/>
        <v>0.016555714008759</v>
      </c>
      <c r="N54" s="335">
        <f>O54/($L$16+SUM($K$16:K54))-1</f>
        <v>0.799629240540572</v>
      </c>
      <c r="O54" s="336">
        <v>54218.06</v>
      </c>
      <c r="P54" s="88"/>
      <c r="Q54" s="347"/>
      <c r="R54" s="335"/>
      <c r="S54" s="335"/>
      <c r="T54" s="348">
        <v>155</v>
      </c>
      <c r="U54" s="348">
        <v>7</v>
      </c>
      <c r="W54" s="352"/>
      <c r="X54" s="351"/>
      <c r="Y54" s="356"/>
      <c r="Z54" s="351"/>
      <c r="AA54" s="356"/>
      <c r="AB54" s="351"/>
      <c r="AC54" s="356"/>
      <c r="AD54" s="351"/>
      <c r="AE54" s="356"/>
      <c r="AF54" s="351"/>
      <c r="AG54" s="356"/>
      <c r="AH54" s="351"/>
      <c r="AI54" s="356"/>
      <c r="AJ54" s="351"/>
      <c r="AK54" s="356"/>
      <c r="AL54" s="351"/>
      <c r="AM54" s="356"/>
      <c r="AN54" s="351"/>
    </row>
    <row r="55" spans="1:40">
      <c r="A55" s="118">
        <v>45639</v>
      </c>
      <c r="B55" s="328"/>
      <c r="C55" s="329"/>
      <c r="D55" s="332"/>
      <c r="E55" s="329"/>
      <c r="F55" s="333"/>
      <c r="G55" s="329"/>
      <c r="H55" s="332"/>
      <c r="I55" s="329"/>
      <c r="J55" s="332"/>
      <c r="K55" s="330">
        <v>0</v>
      </c>
      <c r="L55" s="338">
        <f t="shared" si="18"/>
        <v>54218.06</v>
      </c>
      <c r="M55" s="340">
        <f t="shared" si="19"/>
        <v>-0.0963123726669673</v>
      </c>
      <c r="N55" s="340">
        <f>O55/($L$16+SUM($K$16:K55))-1</f>
        <v>0.626302678463257</v>
      </c>
      <c r="O55" s="341">
        <v>48996.19</v>
      </c>
      <c r="P55" s="88"/>
      <c r="Q55" s="350"/>
      <c r="R55" s="340"/>
      <c r="S55" s="340"/>
      <c r="T55" s="348">
        <v>100</v>
      </c>
      <c r="U55" s="348">
        <v>17</v>
      </c>
      <c r="W55" s="352"/>
      <c r="X55" s="351"/>
      <c r="Y55" s="356"/>
      <c r="Z55" s="351"/>
      <c r="AA55" s="356"/>
      <c r="AB55" s="351"/>
      <c r="AC55" s="356"/>
      <c r="AD55" s="351"/>
      <c r="AE55" s="356"/>
      <c r="AF55" s="351"/>
      <c r="AG55" s="356"/>
      <c r="AH55" s="351"/>
      <c r="AI55" s="356"/>
      <c r="AJ55" s="351"/>
      <c r="AK55" s="356"/>
      <c r="AL55" s="351"/>
      <c r="AM55" s="356"/>
      <c r="AN55" s="351"/>
    </row>
    <row r="56" spans="1:40">
      <c r="A56" s="78">
        <v>45642</v>
      </c>
      <c r="B56" s="328"/>
      <c r="C56" s="329"/>
      <c r="D56" s="332"/>
      <c r="E56" s="329"/>
      <c r="F56" s="333"/>
      <c r="G56" s="329"/>
      <c r="H56" s="332"/>
      <c r="I56" s="329"/>
      <c r="J56" s="332"/>
      <c r="K56" s="330">
        <v>0</v>
      </c>
      <c r="L56" s="338">
        <f t="shared" si="18"/>
        <v>48996.19</v>
      </c>
      <c r="M56" s="340">
        <f t="shared" si="19"/>
        <v>-0.0469652844435456</v>
      </c>
      <c r="N56" s="340">
        <f>O56/($L$16+SUM($K$16:K56))-1</f>
        <v>0.54992291057793</v>
      </c>
      <c r="O56" s="341">
        <v>46695.07</v>
      </c>
      <c r="P56" s="88"/>
      <c r="Q56" s="350"/>
      <c r="R56" s="340"/>
      <c r="S56" s="340"/>
      <c r="T56" s="348">
        <v>115</v>
      </c>
      <c r="U56" s="348">
        <v>30</v>
      </c>
      <c r="W56" s="352"/>
      <c r="X56" s="351"/>
      <c r="Y56" s="356"/>
      <c r="Z56" s="351"/>
      <c r="AA56" s="356"/>
      <c r="AB56" s="351"/>
      <c r="AC56" s="356"/>
      <c r="AD56" s="351"/>
      <c r="AE56" s="356"/>
      <c r="AF56" s="351"/>
      <c r="AG56" s="356"/>
      <c r="AH56" s="351"/>
      <c r="AI56" s="356"/>
      <c r="AJ56" s="351"/>
      <c r="AK56" s="356"/>
      <c r="AL56" s="351"/>
      <c r="AM56" s="356"/>
      <c r="AN56" s="351"/>
    </row>
    <row r="57" spans="1:40">
      <c r="A57" s="78">
        <v>45643</v>
      </c>
      <c r="B57" s="328"/>
      <c r="C57" s="329"/>
      <c r="D57" s="332"/>
      <c r="E57" s="329"/>
      <c r="F57" s="333"/>
      <c r="G57" s="329"/>
      <c r="H57" s="332"/>
      <c r="I57" s="329"/>
      <c r="J57" s="332"/>
      <c r="K57" s="330">
        <v>0</v>
      </c>
      <c r="L57" s="338">
        <f t="shared" si="18"/>
        <v>46695.07</v>
      </c>
      <c r="M57" s="340">
        <f t="shared" si="19"/>
        <v>-0.000214155370149354</v>
      </c>
      <c r="N57" s="340">
        <f>O57/($L$16+SUM($K$16:K57))-1</f>
        <v>0.549590986263312</v>
      </c>
      <c r="O57" s="341">
        <v>46685.07</v>
      </c>
      <c r="P57" s="88"/>
      <c r="Q57" s="350"/>
      <c r="R57" s="340"/>
      <c r="S57" s="340"/>
      <c r="T57" s="348">
        <v>31</v>
      </c>
      <c r="U57" s="348">
        <v>162</v>
      </c>
      <c r="W57" s="353"/>
      <c r="X57" s="351"/>
      <c r="Y57" s="356"/>
      <c r="Z57" s="351"/>
      <c r="AA57" s="356"/>
      <c r="AB57" s="351"/>
      <c r="AC57" s="356"/>
      <c r="AD57" s="351"/>
      <c r="AE57" s="356"/>
      <c r="AF57" s="351"/>
      <c r="AG57" s="356"/>
      <c r="AH57" s="351"/>
      <c r="AI57" s="356"/>
      <c r="AJ57" s="351"/>
      <c r="AK57" s="356"/>
      <c r="AL57" s="351"/>
      <c r="AM57" s="356"/>
      <c r="AN57" s="351"/>
    </row>
    <row r="58" spans="1:40">
      <c r="A58" s="78">
        <v>45644</v>
      </c>
      <c r="B58" s="328"/>
      <c r="C58" s="329"/>
      <c r="D58" s="332"/>
      <c r="E58" s="329"/>
      <c r="F58" s="333"/>
      <c r="G58" s="329"/>
      <c r="H58" s="332"/>
      <c r="I58" s="329"/>
      <c r="J58" s="332"/>
      <c r="K58" s="330">
        <v>0</v>
      </c>
      <c r="L58" s="332">
        <f t="shared" si="18"/>
        <v>46685.07</v>
      </c>
      <c r="M58" s="335">
        <f t="shared" si="19"/>
        <v>0.0967983982887891</v>
      </c>
      <c r="N58" s="335">
        <f>O58/($L$16+SUM($K$16:K58))-1</f>
        <v>0.699588911736346</v>
      </c>
      <c r="O58" s="336">
        <v>51204.11</v>
      </c>
      <c r="P58" s="88"/>
      <c r="Q58" s="347"/>
      <c r="R58" s="335"/>
      <c r="S58" s="335"/>
      <c r="T58" s="348">
        <v>108</v>
      </c>
      <c r="U58" s="348">
        <v>15</v>
      </c>
      <c r="W58" s="353"/>
      <c r="X58" s="351"/>
      <c r="Y58" s="356"/>
      <c r="Z58" s="351"/>
      <c r="AA58" s="356"/>
      <c r="AB58" s="351"/>
      <c r="AC58" s="356"/>
      <c r="AD58" s="351"/>
      <c r="AE58" s="356"/>
      <c r="AF58" s="351"/>
      <c r="AG58" s="356"/>
      <c r="AH58" s="351"/>
      <c r="AI58" s="356"/>
      <c r="AJ58" s="351"/>
      <c r="AK58" s="356"/>
      <c r="AL58" s="351"/>
      <c r="AM58" s="356"/>
      <c r="AN58" s="351"/>
    </row>
    <row r="59" spans="1:26">
      <c r="A59" s="78">
        <v>45645</v>
      </c>
      <c r="B59" s="328"/>
      <c r="C59" s="329"/>
      <c r="D59" s="332"/>
      <c r="E59" s="329"/>
      <c r="F59" s="333"/>
      <c r="G59" s="329"/>
      <c r="H59" s="332"/>
      <c r="I59" s="329"/>
      <c r="J59" s="332"/>
      <c r="K59" s="330">
        <v>0</v>
      </c>
      <c r="L59" s="338">
        <f t="shared" si="18"/>
        <v>51204.11</v>
      </c>
      <c r="M59" s="340">
        <f t="shared" si="19"/>
        <v>-0.000906567851682184</v>
      </c>
      <c r="N59" s="340">
        <f>O59/($L$16+SUM($K$16:K59))-1</f>
        <v>0.69804811906789</v>
      </c>
      <c r="O59" s="341">
        <v>51157.69</v>
      </c>
      <c r="P59" s="88"/>
      <c r="Q59" s="350"/>
      <c r="R59" s="340"/>
      <c r="S59" s="340"/>
      <c r="T59" s="348">
        <v>81</v>
      </c>
      <c r="U59" s="348">
        <v>25</v>
      </c>
      <c r="W59" s="349"/>
      <c r="Z59" s="354"/>
    </row>
    <row r="60" spans="1:26">
      <c r="A60" s="118">
        <v>45646</v>
      </c>
      <c r="B60" s="328"/>
      <c r="C60" s="329"/>
      <c r="D60" s="332"/>
      <c r="E60" s="329"/>
      <c r="F60" s="333"/>
      <c r="G60" s="329"/>
      <c r="H60" s="332"/>
      <c r="I60" s="329"/>
      <c r="J60" s="332"/>
      <c r="K60" s="330">
        <v>0</v>
      </c>
      <c r="L60" s="338">
        <f t="shared" si="18"/>
        <v>51157.69</v>
      </c>
      <c r="M60" s="340">
        <f t="shared" si="19"/>
        <v>-0.0942585562405183</v>
      </c>
      <c r="N60" s="340">
        <f>O60/($L$16+SUM($K$16:K60))-1</f>
        <v>0.537992554937623</v>
      </c>
      <c r="O60" s="341">
        <v>46335.64</v>
      </c>
      <c r="P60" s="88"/>
      <c r="Q60" s="350"/>
      <c r="R60" s="340"/>
      <c r="S60" s="340"/>
      <c r="T60" s="348">
        <v>98</v>
      </c>
      <c r="U60" s="348">
        <v>16</v>
      </c>
      <c r="W60" s="349"/>
      <c r="Z60" s="354"/>
    </row>
    <row r="61" spans="1:26">
      <c r="A61" s="78">
        <v>45649</v>
      </c>
      <c r="B61" s="328"/>
      <c r="C61" s="329"/>
      <c r="D61" s="332"/>
      <c r="E61" s="329"/>
      <c r="F61" s="333"/>
      <c r="G61" s="329"/>
      <c r="H61" s="332"/>
      <c r="I61" s="329"/>
      <c r="J61" s="332"/>
      <c r="K61" s="330">
        <v>0</v>
      </c>
      <c r="L61" s="338">
        <f t="shared" si="18"/>
        <v>46335.64</v>
      </c>
      <c r="M61" s="340">
        <f t="shared" si="19"/>
        <v>-0.100705418118753</v>
      </c>
      <c r="N61" s="340">
        <f>O61/($L$16+SUM($K$16:K61))-1</f>
        <v>0.383108371629101</v>
      </c>
      <c r="O61" s="341">
        <v>41669.39</v>
      </c>
      <c r="P61" s="88"/>
      <c r="Q61" s="350"/>
      <c r="R61" s="340"/>
      <c r="S61" s="340"/>
      <c r="T61" s="348">
        <v>33</v>
      </c>
      <c r="U61" s="348">
        <v>207</v>
      </c>
      <c r="W61" s="349"/>
      <c r="Z61" s="354"/>
    </row>
    <row r="62" spans="1:26">
      <c r="A62" s="78">
        <v>45650</v>
      </c>
      <c r="B62" s="328"/>
      <c r="C62" s="329"/>
      <c r="D62" s="332"/>
      <c r="E62" s="329"/>
      <c r="F62" s="333"/>
      <c r="G62" s="329"/>
      <c r="H62" s="332"/>
      <c r="I62" s="329"/>
      <c r="J62" s="332"/>
      <c r="K62" s="330">
        <v>0</v>
      </c>
      <c r="L62" s="338">
        <f t="shared" si="18"/>
        <v>41669.39</v>
      </c>
      <c r="M62" s="340">
        <f t="shared" si="19"/>
        <v>-0.100127935638127</v>
      </c>
      <c r="N62" s="340">
        <f>O62/($L$16+SUM($K$16:K62))-1</f>
        <v>0.244620585614068</v>
      </c>
      <c r="O62" s="341">
        <v>37497.12</v>
      </c>
      <c r="P62" s="88"/>
      <c r="Q62" s="347"/>
      <c r="R62" s="335"/>
      <c r="S62" s="335"/>
      <c r="T62" s="348">
        <v>83</v>
      </c>
      <c r="U62" s="348">
        <v>37</v>
      </c>
      <c r="W62" s="349"/>
      <c r="Z62" s="354"/>
    </row>
    <row r="63" spans="1:26">
      <c r="A63" s="78">
        <v>45651</v>
      </c>
      <c r="B63" s="328"/>
      <c r="C63" s="329"/>
      <c r="D63" s="332"/>
      <c r="E63" s="329"/>
      <c r="F63" s="333"/>
      <c r="G63" s="329"/>
      <c r="H63" s="332"/>
      <c r="I63" s="329"/>
      <c r="J63" s="332"/>
      <c r="K63" s="330">
        <v>0</v>
      </c>
      <c r="L63" s="338">
        <f t="shared" si="18"/>
        <v>37497.12</v>
      </c>
      <c r="M63" s="340">
        <f t="shared" si="19"/>
        <v>-0.00300849771929164</v>
      </c>
      <c r="N63" s="340">
        <f>O63/($L$16+SUM($K$16:K63))-1</f>
        <v>0.240876147420865</v>
      </c>
      <c r="O63" s="341">
        <v>37384.31</v>
      </c>
      <c r="P63" s="88"/>
      <c r="Q63" s="350"/>
      <c r="R63" s="340"/>
      <c r="S63" s="340"/>
      <c r="T63" s="348">
        <v>46</v>
      </c>
      <c r="U63" s="348">
        <v>62</v>
      </c>
      <c r="W63" s="349"/>
      <c r="Z63" s="354"/>
    </row>
    <row r="64" spans="1:26">
      <c r="A64" s="78">
        <v>45652</v>
      </c>
      <c r="B64" s="328"/>
      <c r="C64" s="329"/>
      <c r="D64" s="332"/>
      <c r="E64" s="329"/>
      <c r="F64" s="333"/>
      <c r="G64" s="329"/>
      <c r="H64" s="332"/>
      <c r="I64" s="329"/>
      <c r="J64" s="332"/>
      <c r="K64" s="330">
        <v>0</v>
      </c>
      <c r="L64" s="332">
        <f t="shared" si="18"/>
        <v>37384.31</v>
      </c>
      <c r="M64" s="335">
        <f t="shared" si="19"/>
        <v>0.00156964245160604</v>
      </c>
      <c r="N64" s="335">
        <f>O64/($L$16+SUM($K$16:K64))-1</f>
        <v>0.242823879299042</v>
      </c>
      <c r="O64" s="336">
        <v>37442.99</v>
      </c>
      <c r="P64" s="88"/>
      <c r="Q64" s="347"/>
      <c r="R64" s="335"/>
      <c r="S64" s="335"/>
      <c r="T64" s="348">
        <v>107</v>
      </c>
      <c r="U64" s="348">
        <v>9</v>
      </c>
      <c r="W64" s="349"/>
      <c r="Z64" s="354"/>
    </row>
    <row r="65" spans="1:26">
      <c r="A65" s="118">
        <v>45653</v>
      </c>
      <c r="B65" s="328"/>
      <c r="C65" s="329"/>
      <c r="D65" s="332"/>
      <c r="E65" s="329"/>
      <c r="F65" s="333"/>
      <c r="G65" s="329"/>
      <c r="H65" s="332"/>
      <c r="I65" s="329"/>
      <c r="J65" s="332"/>
      <c r="K65" s="330">
        <v>0</v>
      </c>
      <c r="L65" s="338">
        <f t="shared" si="18"/>
        <v>37442.99</v>
      </c>
      <c r="M65" s="340">
        <f t="shared" si="19"/>
        <v>-0.0158141750965934</v>
      </c>
      <c r="N65" s="340">
        <f>O65/($L$16+SUM($K$16:K65))-1</f>
        <v>0.22316964485758</v>
      </c>
      <c r="O65" s="341">
        <v>36850.86</v>
      </c>
      <c r="P65" s="88"/>
      <c r="Q65" s="347"/>
      <c r="R65" s="335"/>
      <c r="S65" s="335"/>
      <c r="T65" s="348">
        <v>79</v>
      </c>
      <c r="U65" s="348">
        <v>13</v>
      </c>
      <c r="W65" s="349"/>
      <c r="Z65" s="354"/>
    </row>
    <row r="66" spans="1:26">
      <c r="A66" s="78">
        <v>45656</v>
      </c>
      <c r="B66" s="328"/>
      <c r="C66" s="329"/>
      <c r="D66" s="332"/>
      <c r="E66" s="329"/>
      <c r="F66" s="333"/>
      <c r="G66" s="329"/>
      <c r="H66" s="332"/>
      <c r="I66" s="329"/>
      <c r="J66" s="332"/>
      <c r="K66" s="330">
        <v>0</v>
      </c>
      <c r="L66" s="332">
        <f t="shared" si="18"/>
        <v>36850.86</v>
      </c>
      <c r="M66" s="335">
        <f t="shared" si="19"/>
        <v>0</v>
      </c>
      <c r="N66" s="335">
        <f>O66/($L$16+SUM($K$16:K66))-1</f>
        <v>0.22316964485758</v>
      </c>
      <c r="O66" s="336">
        <v>36850.86</v>
      </c>
      <c r="P66" s="88"/>
      <c r="Q66" s="347"/>
      <c r="R66" s="335"/>
      <c r="S66" s="335"/>
      <c r="T66" s="348">
        <v>54</v>
      </c>
      <c r="U66" s="348">
        <v>20</v>
      </c>
      <c r="W66" s="349"/>
      <c r="Z66" s="354"/>
    </row>
    <row r="67" spans="1:26">
      <c r="A67" s="78">
        <v>45657</v>
      </c>
      <c r="B67" s="328"/>
      <c r="C67" s="329"/>
      <c r="D67" s="332"/>
      <c r="E67" s="329"/>
      <c r="F67" s="333"/>
      <c r="G67" s="329"/>
      <c r="H67" s="332"/>
      <c r="I67" s="329"/>
      <c r="J67" s="332"/>
      <c r="K67" s="330">
        <v>0</v>
      </c>
      <c r="L67" s="338">
        <f t="shared" si="18"/>
        <v>36850.86</v>
      </c>
      <c r="M67" s="340">
        <f t="shared" si="19"/>
        <v>-0.0484384896309068</v>
      </c>
      <c r="N67" s="340">
        <f>O67/($L$16+SUM($K$16:K67))-1</f>
        <v>0.163921154698306</v>
      </c>
      <c r="O67" s="341">
        <v>35065.86</v>
      </c>
      <c r="P67" s="88"/>
      <c r="Q67" s="350"/>
      <c r="R67" s="340"/>
      <c r="S67" s="340"/>
      <c r="T67" s="348">
        <v>57</v>
      </c>
      <c r="U67" s="348">
        <v>30</v>
      </c>
      <c r="W67" s="349"/>
      <c r="Z67" s="354"/>
    </row>
    <row r="68" spans="1:26">
      <c r="A68" s="78">
        <v>45659</v>
      </c>
      <c r="B68" s="328"/>
      <c r="C68" s="329"/>
      <c r="D68" s="332"/>
      <c r="E68" s="329"/>
      <c r="F68" s="333"/>
      <c r="G68" s="329"/>
      <c r="H68" s="332"/>
      <c r="I68" s="329"/>
      <c r="J68" s="332"/>
      <c r="K68" s="330">
        <v>0</v>
      </c>
      <c r="L68" s="338">
        <f t="shared" si="18"/>
        <v>35065.86</v>
      </c>
      <c r="M68" s="340">
        <f t="shared" si="19"/>
        <v>-0.0364519792185334</v>
      </c>
      <c r="N68" s="340">
        <f>O68/($L$16+SUM($K$16:K68))-1</f>
        <v>0.121493924955232</v>
      </c>
      <c r="O68" s="341">
        <v>33787.64</v>
      </c>
      <c r="P68" s="88"/>
      <c r="Q68" s="350"/>
      <c r="R68" s="340"/>
      <c r="S68" s="340"/>
      <c r="T68" s="348">
        <v>67</v>
      </c>
      <c r="U68" s="348">
        <v>32</v>
      </c>
      <c r="W68" s="349"/>
      <c r="Z68" s="354"/>
    </row>
    <row r="69" spans="1:26">
      <c r="A69" s="118">
        <v>45660</v>
      </c>
      <c r="B69" s="328"/>
      <c r="C69" s="329"/>
      <c r="D69" s="332"/>
      <c r="E69" s="329"/>
      <c r="F69" s="333"/>
      <c r="G69" s="329"/>
      <c r="H69" s="332"/>
      <c r="I69" s="329"/>
      <c r="J69" s="332"/>
      <c r="K69" s="330">
        <v>0</v>
      </c>
      <c r="L69" s="338">
        <f t="shared" si="18"/>
        <v>33787.64</v>
      </c>
      <c r="M69" s="340">
        <f t="shared" si="19"/>
        <v>-0.0473377246827538</v>
      </c>
      <c r="N69" s="340">
        <f>O69/($L$16+SUM($K$16:K69))-1</f>
        <v>0.06840495430232</v>
      </c>
      <c r="O69" s="341">
        <v>32188.21</v>
      </c>
      <c r="P69" s="88"/>
      <c r="Q69" s="350"/>
      <c r="R69" s="340"/>
      <c r="S69" s="340"/>
      <c r="T69" s="348">
        <v>55</v>
      </c>
      <c r="U69" s="348">
        <v>111</v>
      </c>
      <c r="W69" s="349"/>
      <c r="Z69" s="354"/>
    </row>
    <row r="70" spans="1:26">
      <c r="A70" s="78">
        <v>45663</v>
      </c>
      <c r="B70" s="328"/>
      <c r="C70" s="329"/>
      <c r="D70" s="332"/>
      <c r="E70" s="329"/>
      <c r="F70" s="333"/>
      <c r="G70" s="329"/>
      <c r="H70" s="332"/>
      <c r="I70" s="329"/>
      <c r="J70" s="332"/>
      <c r="K70" s="330">
        <v>0</v>
      </c>
      <c r="L70" s="338">
        <f t="shared" si="18"/>
        <v>32188.21</v>
      </c>
      <c r="M70" s="340">
        <f t="shared" si="19"/>
        <v>-0.015934405796408</v>
      </c>
      <c r="N70" s="340">
        <f>O70/($L$16+SUM($K$16:K70))-1</f>
        <v>0.051380556205574</v>
      </c>
      <c r="O70" s="341">
        <v>31675.31</v>
      </c>
      <c r="P70" s="88"/>
      <c r="Q70" s="350"/>
      <c r="R70" s="340"/>
      <c r="S70" s="340"/>
      <c r="T70" s="348">
        <v>68</v>
      </c>
      <c r="U70" s="348">
        <v>91</v>
      </c>
      <c r="W70" s="349"/>
      <c r="Z70" s="354"/>
    </row>
    <row r="71" spans="1:26">
      <c r="A71" s="78">
        <v>45664</v>
      </c>
      <c r="B71" s="328"/>
      <c r="C71" s="329"/>
      <c r="D71" s="332"/>
      <c r="E71" s="329"/>
      <c r="F71" s="333"/>
      <c r="G71" s="329"/>
      <c r="H71" s="332"/>
      <c r="I71" s="329"/>
      <c r="J71" s="332"/>
      <c r="K71" s="330">
        <v>0</v>
      </c>
      <c r="L71" s="338">
        <f t="shared" si="18"/>
        <v>31675.31</v>
      </c>
      <c r="M71" s="340">
        <f t="shared" si="19"/>
        <v>-0.0317881656091133</v>
      </c>
      <c r="N71" s="340">
        <f>O71/($L$16+SUM($K$16:K71))-1</f>
        <v>0.0179590969667096</v>
      </c>
      <c r="O71" s="341">
        <v>30668.41</v>
      </c>
      <c r="P71" s="88"/>
      <c r="Q71" s="347"/>
      <c r="R71" s="335"/>
      <c r="S71" s="335"/>
      <c r="T71" s="348">
        <v>104</v>
      </c>
      <c r="U71" s="348">
        <v>18</v>
      </c>
      <c r="W71" s="349"/>
      <c r="Z71" s="354"/>
    </row>
    <row r="72" spans="1:26">
      <c r="A72" s="78">
        <v>45665</v>
      </c>
      <c r="B72" s="328"/>
      <c r="C72" s="329"/>
      <c r="D72" s="332"/>
      <c r="E72" s="329"/>
      <c r="F72" s="333"/>
      <c r="G72" s="329"/>
      <c r="H72" s="332"/>
      <c r="I72" s="329"/>
      <c r="J72" s="332"/>
      <c r="K72" s="330">
        <v>0</v>
      </c>
      <c r="L72" s="332">
        <f t="shared" si="18"/>
        <v>30668.41</v>
      </c>
      <c r="M72" s="335">
        <f t="shared" si="19"/>
        <v>0.00689862956703656</v>
      </c>
      <c r="N72" s="335">
        <f>O72/($L$16+SUM($K$16:K72))-1</f>
        <v>0.0249816196910781</v>
      </c>
      <c r="O72" s="336">
        <v>30879.98</v>
      </c>
      <c r="P72" s="88"/>
      <c r="Q72" s="347"/>
      <c r="R72" s="335"/>
      <c r="S72" s="335"/>
      <c r="T72" s="348">
        <v>74</v>
      </c>
      <c r="U72" s="348">
        <v>9</v>
      </c>
      <c r="W72" s="349"/>
      <c r="Z72" s="354"/>
    </row>
    <row r="73" spans="1:26">
      <c r="A73" s="78">
        <v>45666</v>
      </c>
      <c r="B73" s="328"/>
      <c r="C73" s="329"/>
      <c r="D73" s="332"/>
      <c r="E73" s="329"/>
      <c r="F73" s="333"/>
      <c r="G73" s="329"/>
      <c r="H73" s="332"/>
      <c r="I73" s="329"/>
      <c r="J73" s="332"/>
      <c r="K73" s="330">
        <v>0</v>
      </c>
      <c r="L73" s="359">
        <f t="shared" si="18"/>
        <v>30879.98</v>
      </c>
      <c r="M73" s="360">
        <f t="shared" si="19"/>
        <v>3.23834406628502e-5</v>
      </c>
      <c r="N73" s="360">
        <f>O73/($L$16+SUM($K$16:K73))-1</f>
        <v>0.0250148121225398</v>
      </c>
      <c r="O73" s="361">
        <v>30880.98</v>
      </c>
      <c r="P73" s="88"/>
      <c r="Q73" s="350"/>
      <c r="R73" s="340"/>
      <c r="S73" s="340"/>
      <c r="T73" s="348">
        <v>97</v>
      </c>
      <c r="U73" s="348">
        <v>11</v>
      </c>
      <c r="W73" s="349"/>
      <c r="Z73" s="354"/>
    </row>
    <row r="74" spans="1:26">
      <c r="A74" s="118">
        <v>45667</v>
      </c>
      <c r="B74" s="328"/>
      <c r="C74" s="329"/>
      <c r="D74" s="332"/>
      <c r="E74" s="329"/>
      <c r="F74" s="333"/>
      <c r="G74" s="329"/>
      <c r="H74" s="332"/>
      <c r="I74" s="329"/>
      <c r="J74" s="332"/>
      <c r="K74" s="330">
        <v>0</v>
      </c>
      <c r="L74" s="332">
        <f t="shared" si="18"/>
        <v>30880.98</v>
      </c>
      <c r="M74" s="335">
        <f t="shared" si="19"/>
        <v>0.00266766145374923</v>
      </c>
      <c r="N74" s="335">
        <f>O74/($L$16+SUM($K$16:K74))-1</f>
        <v>0.0277492046263612</v>
      </c>
      <c r="O74" s="336">
        <v>30963.36</v>
      </c>
      <c r="P74" s="88"/>
      <c r="Q74" s="350"/>
      <c r="R74" s="340"/>
      <c r="S74" s="340"/>
      <c r="T74" s="348">
        <v>44</v>
      </c>
      <c r="U74" s="348">
        <v>52</v>
      </c>
      <c r="W74" s="349"/>
      <c r="Z74" s="354"/>
    </row>
    <row r="75" spans="1:26">
      <c r="A75" s="78">
        <v>45670</v>
      </c>
      <c r="B75" s="328"/>
      <c r="C75" s="329"/>
      <c r="D75" s="332"/>
      <c r="E75" s="329"/>
      <c r="F75" s="333"/>
      <c r="G75" s="329"/>
      <c r="H75" s="332"/>
      <c r="I75" s="329"/>
      <c r="J75" s="332"/>
      <c r="K75" s="330">
        <v>0</v>
      </c>
      <c r="L75" s="332">
        <f t="shared" si="18"/>
        <v>30963.36</v>
      </c>
      <c r="M75" s="335">
        <f t="shared" si="19"/>
        <v>0.00242544736746912</v>
      </c>
      <c r="N75" s="335">
        <f>O75/($L$16+SUM($K$16:K75))-1</f>
        <v>0.0302419562291407</v>
      </c>
      <c r="O75" s="336">
        <v>31038.46</v>
      </c>
      <c r="P75" s="88"/>
      <c r="Q75" s="350"/>
      <c r="R75" s="340"/>
      <c r="S75" s="340"/>
      <c r="T75" s="348">
        <v>52</v>
      </c>
      <c r="U75" s="348">
        <v>41</v>
      </c>
      <c r="W75" s="349"/>
      <c r="Z75" s="354"/>
    </row>
    <row r="76" spans="1:26">
      <c r="A76" s="78">
        <v>45671</v>
      </c>
      <c r="B76" s="328"/>
      <c r="C76" s="329"/>
      <c r="D76" s="332"/>
      <c r="E76" s="329"/>
      <c r="F76" s="333"/>
      <c r="G76" s="329"/>
      <c r="H76" s="332"/>
      <c r="I76" s="329"/>
      <c r="J76" s="332"/>
      <c r="K76" s="330">
        <v>0</v>
      </c>
      <c r="L76" s="338">
        <f t="shared" si="18"/>
        <v>31038.46</v>
      </c>
      <c r="M76" s="340">
        <f t="shared" si="19"/>
        <v>-0.00409975237173494</v>
      </c>
      <c r="N76" s="340">
        <f>O76/($L$16+SUM($K$16:K76))-1</f>
        <v>0.0260182193256293</v>
      </c>
      <c r="O76" s="341">
        <v>30911.21</v>
      </c>
      <c r="P76" s="88"/>
      <c r="Q76" s="347"/>
      <c r="R76" s="335"/>
      <c r="S76" s="335"/>
      <c r="T76" s="348">
        <v>157</v>
      </c>
      <c r="U76" s="348">
        <v>3</v>
      </c>
      <c r="W76" s="349"/>
      <c r="Z76" s="354"/>
    </row>
    <row r="77" spans="1:21">
      <c r="A77" s="78">
        <v>45672</v>
      </c>
      <c r="B77" s="328"/>
      <c r="C77" s="329"/>
      <c r="D77" s="332"/>
      <c r="E77" s="329"/>
      <c r="F77" s="333"/>
      <c r="G77" s="329"/>
      <c r="H77" s="332"/>
      <c r="I77" s="329"/>
      <c r="J77" s="332"/>
      <c r="K77" s="330">
        <v>0</v>
      </c>
      <c r="L77" s="338">
        <f t="shared" si="18"/>
        <v>30911.21</v>
      </c>
      <c r="M77" s="340">
        <f t="shared" si="19"/>
        <v>-0.014170587304735</v>
      </c>
      <c r="N77" s="340">
        <f>O77/($L$16+SUM($K$16:K77))-1</f>
        <v>0.0114789385724268</v>
      </c>
      <c r="O77" s="341">
        <v>30473.18</v>
      </c>
      <c r="P77" s="88"/>
      <c r="Q77" s="350"/>
      <c r="R77" s="340"/>
      <c r="S77" s="340"/>
      <c r="T77" s="348">
        <v>81</v>
      </c>
      <c r="U77" s="348">
        <v>10</v>
      </c>
    </row>
    <row r="78" spans="1:21">
      <c r="A78" s="78">
        <v>45673</v>
      </c>
      <c r="B78" s="328"/>
      <c r="C78" s="329"/>
      <c r="D78" s="332"/>
      <c r="E78" s="329"/>
      <c r="F78" s="333"/>
      <c r="G78" s="329"/>
      <c r="H78" s="332"/>
      <c r="I78" s="329"/>
      <c r="J78" s="332"/>
      <c r="K78" s="330">
        <v>0</v>
      </c>
      <c r="L78" s="338">
        <f t="shared" si="18"/>
        <v>30473.18</v>
      </c>
      <c r="M78" s="340">
        <f t="shared" si="19"/>
        <v>-0.0416264400367799</v>
      </c>
      <c r="N78" s="340">
        <f>O78/($L$16+SUM($K$16:K78))-1</f>
        <v>-0.0306253288125241</v>
      </c>
      <c r="O78" s="341">
        <v>29204.69</v>
      </c>
      <c r="P78" s="88"/>
      <c r="Q78" s="347"/>
      <c r="R78" s="335"/>
      <c r="S78" s="335"/>
      <c r="T78" s="348">
        <v>84</v>
      </c>
      <c r="U78" s="348">
        <v>7</v>
      </c>
    </row>
    <row r="79" spans="1:21">
      <c r="A79" s="118">
        <v>45674</v>
      </c>
      <c r="B79" s="328"/>
      <c r="C79" s="329"/>
      <c r="D79" s="332"/>
      <c r="E79" s="329"/>
      <c r="F79" s="333"/>
      <c r="G79" s="329"/>
      <c r="H79" s="332"/>
      <c r="I79" s="329"/>
      <c r="J79" s="332"/>
      <c r="K79" s="330">
        <v>0</v>
      </c>
      <c r="L79" s="338">
        <f t="shared" si="18"/>
        <v>29204.69</v>
      </c>
      <c r="M79" s="340">
        <f t="shared" si="19"/>
        <v>-0.0252195794579569</v>
      </c>
      <c r="N79" s="340">
        <f>O79/($L$16+SUM($K$16:K79))-1</f>
        <v>-0.0550725503570676</v>
      </c>
      <c r="O79" s="341">
        <v>28468.16</v>
      </c>
      <c r="P79" s="88"/>
      <c r="Q79" s="347"/>
      <c r="R79" s="335"/>
      <c r="S79" s="335"/>
      <c r="T79" s="348">
        <v>65</v>
      </c>
      <c r="U79" s="348">
        <v>16</v>
      </c>
    </row>
    <row r="80" spans="1:21">
      <c r="A80" s="78">
        <v>45677</v>
      </c>
      <c r="B80" s="328"/>
      <c r="C80" s="329"/>
      <c r="D80" s="332"/>
      <c r="E80" s="329"/>
      <c r="F80" s="333"/>
      <c r="G80" s="329"/>
      <c r="H80" s="332"/>
      <c r="I80" s="329"/>
      <c r="J80" s="332"/>
      <c r="K80" s="330">
        <v>0</v>
      </c>
      <c r="L80" s="338">
        <f t="shared" si="18"/>
        <v>28468.16</v>
      </c>
      <c r="M80" s="340">
        <f t="shared" si="19"/>
        <v>-0.037351553454807</v>
      </c>
      <c r="N80" s="340">
        <f>O80/($L$16+SUM($K$16:K80))-1</f>
        <v>-0.0903670585033199</v>
      </c>
      <c r="O80" s="341">
        <v>27404.83</v>
      </c>
      <c r="P80" s="88"/>
      <c r="Q80" s="347"/>
      <c r="R80" s="335"/>
      <c r="S80" s="335"/>
      <c r="T80" s="348">
        <v>80</v>
      </c>
      <c r="U80" s="348">
        <v>26</v>
      </c>
    </row>
    <row r="81" spans="1:21">
      <c r="A81" s="78">
        <v>45678</v>
      </c>
      <c r="B81" s="328"/>
      <c r="C81" s="329"/>
      <c r="D81" s="332"/>
      <c r="E81" s="329"/>
      <c r="F81" s="333"/>
      <c r="G81" s="329"/>
      <c r="H81" s="332"/>
      <c r="I81" s="329"/>
      <c r="J81" s="332"/>
      <c r="K81" s="330">
        <v>0</v>
      </c>
      <c r="L81" s="332">
        <f t="shared" si="18"/>
        <v>27404.83</v>
      </c>
      <c r="M81" s="335">
        <f t="shared" si="19"/>
        <v>0.0160997167287664</v>
      </c>
      <c r="N81" s="335">
        <f>O81/($L$16+SUM($K$16:K81))-1</f>
        <v>-0.0757222258180689</v>
      </c>
      <c r="O81" s="336">
        <v>27846.04</v>
      </c>
      <c r="P81" s="88"/>
      <c r="Q81" s="350"/>
      <c r="R81" s="340"/>
      <c r="S81" s="340"/>
      <c r="T81" s="348">
        <v>52</v>
      </c>
      <c r="U81" s="348">
        <v>27</v>
      </c>
    </row>
    <row r="82" spans="1:21">
      <c r="A82" s="78">
        <v>45679</v>
      </c>
      <c r="B82" s="328"/>
      <c r="C82" s="329"/>
      <c r="D82" s="332"/>
      <c r="E82" s="329"/>
      <c r="F82" s="333"/>
      <c r="G82" s="329"/>
      <c r="H82" s="332"/>
      <c r="I82" s="329"/>
      <c r="J82" s="332"/>
      <c r="K82" s="330">
        <v>0</v>
      </c>
      <c r="L82" s="338">
        <f t="shared" si="18"/>
        <v>27846.04</v>
      </c>
      <c r="M82" s="340">
        <f t="shared" si="19"/>
        <v>-0.0062127325824426</v>
      </c>
      <c r="N82" s="340">
        <f>O82/($L$16+SUM($K$16:K82))-1</f>
        <v>-0.0814645164609565</v>
      </c>
      <c r="O82" s="341">
        <v>27673.04</v>
      </c>
      <c r="P82" s="88"/>
      <c r="Q82" s="350"/>
      <c r="R82" s="340"/>
      <c r="S82" s="340"/>
      <c r="T82" s="348">
        <v>48</v>
      </c>
      <c r="U82" s="348">
        <v>26</v>
      </c>
    </row>
    <row r="83" spans="1:21">
      <c r="A83" s="78">
        <v>45680</v>
      </c>
      <c r="B83" s="328"/>
      <c r="C83" s="329"/>
      <c r="D83" s="332"/>
      <c r="E83" s="329"/>
      <c r="F83" s="333"/>
      <c r="G83" s="329"/>
      <c r="H83" s="332"/>
      <c r="I83" s="329"/>
      <c r="J83" s="332"/>
      <c r="K83" s="330">
        <v>0</v>
      </c>
      <c r="L83" s="338">
        <f t="shared" si="18"/>
        <v>27673.04</v>
      </c>
      <c r="M83" s="340">
        <f t="shared" si="19"/>
        <v>-0.0117847551262891</v>
      </c>
      <c r="N83" s="340">
        <f>O83/($L$16+SUM($K$16:K83))-1</f>
        <v>-0.0922892322092717</v>
      </c>
      <c r="O83" s="341">
        <v>27346.92</v>
      </c>
      <c r="P83" s="88"/>
      <c r="Q83" s="347"/>
      <c r="R83" s="335"/>
      <c r="S83" s="335"/>
      <c r="T83" s="348">
        <v>46</v>
      </c>
      <c r="U83" s="348">
        <v>29</v>
      </c>
    </row>
    <row r="84" spans="1:21">
      <c r="A84" s="118">
        <v>45681</v>
      </c>
      <c r="B84" s="328"/>
      <c r="C84" s="329"/>
      <c r="D84" s="332"/>
      <c r="E84" s="329"/>
      <c r="F84" s="333"/>
      <c r="G84" s="329"/>
      <c r="H84" s="332"/>
      <c r="I84" s="329"/>
      <c r="J84" s="332"/>
      <c r="K84" s="330">
        <v>0</v>
      </c>
      <c r="L84" s="338">
        <f t="shared" si="18"/>
        <v>27346.92</v>
      </c>
      <c r="M84" s="340">
        <f t="shared" si="19"/>
        <v>-0.00080447816426859</v>
      </c>
      <c r="N84" s="340">
        <f>O84/($L$16+SUM($K$16:K84))-1</f>
        <v>-0.0930194657014308</v>
      </c>
      <c r="O84" s="341">
        <v>27324.92</v>
      </c>
      <c r="P84" s="88"/>
      <c r="Q84" s="347"/>
      <c r="R84" s="335"/>
      <c r="S84" s="335"/>
      <c r="T84" s="348">
        <v>74</v>
      </c>
      <c r="U84" s="348">
        <v>29</v>
      </c>
    </row>
    <row r="85" spans="1:21">
      <c r="A85" s="78">
        <v>45684</v>
      </c>
      <c r="B85" s="328"/>
      <c r="C85" s="329"/>
      <c r="D85" s="332"/>
      <c r="E85" s="329"/>
      <c r="F85" s="333"/>
      <c r="G85" s="329"/>
      <c r="H85" s="332"/>
      <c r="I85" s="329"/>
      <c r="J85" s="332"/>
      <c r="K85" s="330">
        <v>0</v>
      </c>
      <c r="L85" s="332">
        <f t="shared" si="18"/>
        <v>27324.92</v>
      </c>
      <c r="M85" s="335">
        <f t="shared" si="19"/>
        <v>0.0950956123567792</v>
      </c>
      <c r="N85" s="335">
        <f>O85/($L$16+SUM($K$16:K85))-1</f>
        <v>-0.00676959639662955</v>
      </c>
      <c r="O85" s="336">
        <v>29923.4</v>
      </c>
      <c r="P85" s="88"/>
      <c r="Q85" s="350"/>
      <c r="R85" s="340"/>
      <c r="S85" s="340"/>
      <c r="T85" s="348">
        <v>45</v>
      </c>
      <c r="U85" s="348">
        <v>48</v>
      </c>
    </row>
    <row r="86" spans="1:21">
      <c r="A86" s="78">
        <v>45693</v>
      </c>
      <c r="B86" s="328">
        <v>0</v>
      </c>
      <c r="C86" s="329">
        <v>1</v>
      </c>
      <c r="D86" s="332">
        <v>30000</v>
      </c>
      <c r="E86" s="329">
        <v>1</v>
      </c>
      <c r="F86" s="333">
        <v>30000</v>
      </c>
      <c r="G86" s="329">
        <v>1</v>
      </c>
      <c r="H86" s="332">
        <v>30000</v>
      </c>
      <c r="I86" s="329">
        <v>1</v>
      </c>
      <c r="J86" s="332">
        <v>30000</v>
      </c>
      <c r="K86" s="330">
        <v>0</v>
      </c>
      <c r="L86" s="332">
        <f t="shared" si="18"/>
        <v>29923.4</v>
      </c>
      <c r="M86" s="335">
        <f t="shared" si="19"/>
        <v>0.00167093311588924</v>
      </c>
      <c r="N86" s="335">
        <f>O86/($L$16+SUM($K$16:K86))-1</f>
        <v>-0.00510997482354059</v>
      </c>
      <c r="O86" s="336">
        <v>29973.4</v>
      </c>
      <c r="P86" s="88">
        <v>0</v>
      </c>
      <c r="Q86" s="350"/>
      <c r="R86" s="340"/>
      <c r="S86" s="340"/>
      <c r="T86" s="348">
        <v>83</v>
      </c>
      <c r="U86" s="348">
        <v>45</v>
      </c>
    </row>
    <row r="87" spans="1:21">
      <c r="A87" s="78">
        <v>45694</v>
      </c>
      <c r="B87" s="328">
        <v>1</v>
      </c>
      <c r="C87" s="329">
        <v>1.03</v>
      </c>
      <c r="D87" s="332">
        <f>($L$16+SUM($K$16:K87))*C87</f>
        <v>31031.1705</v>
      </c>
      <c r="E87" s="329">
        <v>1.02</v>
      </c>
      <c r="F87" s="333">
        <f>($L$16+SUM($K$16:K87))*E87</f>
        <v>30729.897</v>
      </c>
      <c r="G87" s="329">
        <v>1.015</v>
      </c>
      <c r="H87" s="332">
        <f>($L$16+SUM($K$16:K87))*G87</f>
        <v>30579.26025</v>
      </c>
      <c r="I87" s="329">
        <v>1.01</v>
      </c>
      <c r="J87" s="332">
        <f>($L$16+SUM($K$16:K87))*I87</f>
        <v>30428.6235</v>
      </c>
      <c r="K87" s="330">
        <v>0</v>
      </c>
      <c r="L87" s="332">
        <f t="shared" si="18"/>
        <v>29973.4</v>
      </c>
      <c r="M87" s="335">
        <f t="shared" si="19"/>
        <v>0.0414157219401202</v>
      </c>
      <c r="N87" s="335">
        <f>O87/($L$16+SUM($K$16:K87))-1</f>
        <v>0.0360941138201667</v>
      </c>
      <c r="O87" s="336">
        <v>31214.77</v>
      </c>
      <c r="P87" s="88">
        <f t="shared" ref="P86:P103" si="20">I87-1</f>
        <v>0.01</v>
      </c>
      <c r="Q87" s="347"/>
      <c r="R87" s="335"/>
      <c r="S87" s="335"/>
      <c r="T87" s="348">
        <v>101</v>
      </c>
      <c r="U87" s="348">
        <v>4</v>
      </c>
    </row>
    <row r="88" spans="1:21">
      <c r="A88" s="118">
        <v>45695</v>
      </c>
      <c r="B88" s="328">
        <v>2</v>
      </c>
      <c r="C88" s="329">
        <f>POWER($C$87,B88)</f>
        <v>1.0609</v>
      </c>
      <c r="D88" s="332">
        <f>($L$16+SUM($K$16:K88))*C88</f>
        <v>31962.105615</v>
      </c>
      <c r="E88" s="329">
        <f>POWER($E$87,B88)</f>
        <v>1.0404</v>
      </c>
      <c r="F88" s="333">
        <f>($L$16+SUM($K$16:K88))*E88</f>
        <v>31344.49494</v>
      </c>
      <c r="G88" s="329">
        <f>POWER($G$87,B88)</f>
        <v>1.030225</v>
      </c>
      <c r="H88" s="332">
        <f>($L$16+SUM($K$16:K88))*G88</f>
        <v>31037.94915375</v>
      </c>
      <c r="I88" s="329">
        <f>POWER($I$87,B88)</f>
        <v>1.0201</v>
      </c>
      <c r="J88" s="332">
        <f>($L$16+SUM($K$16:K88))*I88</f>
        <v>30732.909735</v>
      </c>
      <c r="K88" s="330">
        <v>0</v>
      </c>
      <c r="L88" s="332">
        <f t="shared" si="18"/>
        <v>31214.77</v>
      </c>
      <c r="M88" s="335">
        <f t="shared" si="19"/>
        <v>0.0317157550736398</v>
      </c>
      <c r="N88" s="335">
        <f>O88/($L$16+SUM($K$16:K88))-1</f>
        <v>0.0689546209673271</v>
      </c>
      <c r="O88" s="336">
        <v>32204.77</v>
      </c>
      <c r="P88" s="88">
        <f t="shared" si="20"/>
        <v>0.0201</v>
      </c>
      <c r="Q88" s="347"/>
      <c r="R88" s="335"/>
      <c r="S88" s="335"/>
      <c r="T88" s="348">
        <v>93</v>
      </c>
      <c r="U88" s="348">
        <v>2</v>
      </c>
    </row>
    <row r="89" spans="1:21">
      <c r="A89" s="78">
        <v>45698</v>
      </c>
      <c r="B89" s="328">
        <v>3</v>
      </c>
      <c r="C89" s="329">
        <f t="shared" ref="C89:C103" si="21">POWER($C$87,B89)</f>
        <v>1.092727</v>
      </c>
      <c r="D89" s="332">
        <f>($L$16+SUM($K$16:K89))*C89</f>
        <v>32920.96878345</v>
      </c>
      <c r="E89" s="329">
        <f t="shared" ref="E89:E103" si="22">POWER($E$87,B89)</f>
        <v>1.061208</v>
      </c>
      <c r="F89" s="333">
        <f>($L$16+SUM($K$16:K89))*E89</f>
        <v>31971.3848388</v>
      </c>
      <c r="G89" s="329">
        <f t="shared" ref="G89:G103" si="23">POWER($G$87,B89)</f>
        <v>1.045678375</v>
      </c>
      <c r="H89" s="332">
        <f>($L$16+SUM($K$16:K89))*G89</f>
        <v>31503.5183910562</v>
      </c>
      <c r="I89" s="329">
        <f t="shared" ref="I89:I103" si="24">POWER($I$87,B89)</f>
        <v>1.030301</v>
      </c>
      <c r="J89" s="332">
        <f>($L$16+SUM($K$16:K89))*I89</f>
        <v>31040.23883235</v>
      </c>
      <c r="K89" s="330">
        <v>0</v>
      </c>
      <c r="L89" s="338">
        <f t="shared" si="18"/>
        <v>32204.77</v>
      </c>
      <c r="M89" s="340">
        <f t="shared" si="19"/>
        <v>-0.000154945990920028</v>
      </c>
      <c r="N89" s="340">
        <f>O89/($L$16+SUM($K$16:K89))-1</f>
        <v>0.0687889907343329</v>
      </c>
      <c r="O89" s="341">
        <v>32199.78</v>
      </c>
      <c r="P89" s="88">
        <f t="shared" si="20"/>
        <v>0.0303010000000001</v>
      </c>
      <c r="Q89" s="347"/>
      <c r="R89" s="335"/>
      <c r="S89" s="335"/>
      <c r="T89" s="348">
        <v>140</v>
      </c>
      <c r="U89" s="348">
        <v>2</v>
      </c>
    </row>
    <row r="90" spans="1:21">
      <c r="A90" s="78">
        <v>45699</v>
      </c>
      <c r="B90" s="328">
        <v>4</v>
      </c>
      <c r="C90" s="329">
        <f t="shared" si="21"/>
        <v>1.12550881</v>
      </c>
      <c r="D90" s="332">
        <f>($L$16+SUM($K$16:K90))*C90</f>
        <v>33908.5978469535</v>
      </c>
      <c r="E90" s="329">
        <f t="shared" si="22"/>
        <v>1.08243216</v>
      </c>
      <c r="F90" s="333">
        <f>($L$16+SUM($K$16:K90))*E90</f>
        <v>32610.812535576</v>
      </c>
      <c r="G90" s="329">
        <f t="shared" si="23"/>
        <v>1.061363550625</v>
      </c>
      <c r="H90" s="332">
        <f>($L$16+SUM($K$16:K90))*G90</f>
        <v>31976.0711669221</v>
      </c>
      <c r="I90" s="329">
        <f t="shared" si="24"/>
        <v>1.04060401</v>
      </c>
      <c r="J90" s="332">
        <f>($L$16+SUM($K$16:K90))*I90</f>
        <v>31350.6412206735</v>
      </c>
      <c r="K90" s="330">
        <v>0</v>
      </c>
      <c r="L90" s="338">
        <f t="shared" si="18"/>
        <v>32199.78</v>
      </c>
      <c r="M90" s="340">
        <f t="shared" si="19"/>
        <v>-0.0243989244647013</v>
      </c>
      <c r="N90" s="340">
        <f>O90/($L$16+SUM($K$16:K90))-1</f>
        <v>0.0427116888807015</v>
      </c>
      <c r="O90" s="341">
        <v>31414.14</v>
      </c>
      <c r="P90" s="88">
        <f t="shared" si="20"/>
        <v>0.04060401</v>
      </c>
      <c r="Q90" s="350"/>
      <c r="R90" s="340"/>
      <c r="S90" s="340"/>
      <c r="T90" s="348">
        <v>84</v>
      </c>
      <c r="U90" s="348">
        <v>2</v>
      </c>
    </row>
    <row r="91" spans="1:21">
      <c r="A91" s="78">
        <v>45700</v>
      </c>
      <c r="B91" s="328">
        <v>5</v>
      </c>
      <c r="C91" s="329">
        <f t="shared" si="21"/>
        <v>1.1592740743</v>
      </c>
      <c r="D91" s="332">
        <f>($L$16+SUM($K$16:K91))*C91</f>
        <v>34925.8557823621</v>
      </c>
      <c r="E91" s="329">
        <f t="shared" si="22"/>
        <v>1.1040808032</v>
      </c>
      <c r="F91" s="333">
        <f>($L$16+SUM($K$16:K91))*E91</f>
        <v>33263.0287862875</v>
      </c>
      <c r="G91" s="329">
        <f t="shared" si="23"/>
        <v>1.07728400388437</v>
      </c>
      <c r="H91" s="332">
        <f>($L$16+SUM($K$16:K91))*G91</f>
        <v>32455.7122344259</v>
      </c>
      <c r="I91" s="329">
        <f t="shared" si="24"/>
        <v>1.0510100501</v>
      </c>
      <c r="J91" s="332">
        <f>($L$16+SUM($K$16:K91))*I91</f>
        <v>31664.1476328802</v>
      </c>
      <c r="K91" s="330">
        <v>0</v>
      </c>
      <c r="L91" s="359">
        <f t="shared" si="18"/>
        <v>31414.14</v>
      </c>
      <c r="M91" s="360">
        <f t="shared" si="19"/>
        <v>3.18327988606405e-5</v>
      </c>
      <c r="N91" s="360">
        <f>O91/($L$16+SUM($K$16:K91))-1</f>
        <v>0.0427448813121631</v>
      </c>
      <c r="O91" s="361">
        <v>31415.14</v>
      </c>
      <c r="P91" s="88">
        <f t="shared" si="20"/>
        <v>0.0510100501000001</v>
      </c>
      <c r="Q91" s="347"/>
      <c r="R91" s="335"/>
      <c r="S91" s="335"/>
      <c r="T91" s="348">
        <v>95</v>
      </c>
      <c r="U91" s="348">
        <v>2</v>
      </c>
    </row>
    <row r="92" spans="1:21">
      <c r="A92" s="78">
        <v>45701</v>
      </c>
      <c r="B92" s="328">
        <v>6</v>
      </c>
      <c r="C92" s="329">
        <f t="shared" si="21"/>
        <v>1.194052296529</v>
      </c>
      <c r="D92" s="332">
        <f>($L$16+SUM($K$16:K92))*C92</f>
        <v>35973.631455833</v>
      </c>
      <c r="E92" s="329">
        <f t="shared" si="22"/>
        <v>1.126162419264</v>
      </c>
      <c r="F92" s="333">
        <f>($L$16+SUM($K$16:K92))*E92</f>
        <v>33928.2893620133</v>
      </c>
      <c r="G92" s="329">
        <f t="shared" si="23"/>
        <v>1.09344326394264</v>
      </c>
      <c r="H92" s="332">
        <f>($L$16+SUM($K$16:K92))*G92</f>
        <v>32942.5479179423</v>
      </c>
      <c r="I92" s="329">
        <f t="shared" si="24"/>
        <v>1.061520150601</v>
      </c>
      <c r="J92" s="332">
        <f>($L$16+SUM($K$16:K92))*I92</f>
        <v>31980.789109209</v>
      </c>
      <c r="K92" s="330">
        <v>0</v>
      </c>
      <c r="L92" s="338">
        <f t="shared" si="18"/>
        <v>31415.14</v>
      </c>
      <c r="M92" s="340">
        <f t="shared" si="19"/>
        <v>-0.000187807534838228</v>
      </c>
      <c r="N92" s="340">
        <f>O92/($L$16+SUM($K$16:K92))-1</f>
        <v>0.0425490459665387</v>
      </c>
      <c r="O92" s="341">
        <v>31409.24</v>
      </c>
      <c r="P92" s="88">
        <f t="shared" si="20"/>
        <v>0.0615201506010001</v>
      </c>
      <c r="Q92" s="350"/>
      <c r="R92" s="340"/>
      <c r="S92" s="340"/>
      <c r="T92" s="348">
        <v>74</v>
      </c>
      <c r="U92" s="348">
        <v>7</v>
      </c>
    </row>
    <row r="93" spans="1:21">
      <c r="A93" s="118">
        <v>45702</v>
      </c>
      <c r="B93" s="328">
        <v>7</v>
      </c>
      <c r="C93" s="329">
        <f t="shared" si="21"/>
        <v>1.22987386542487</v>
      </c>
      <c r="D93" s="332">
        <f>($L$16+SUM($K$16:K93))*C93</f>
        <v>37052.840399508</v>
      </c>
      <c r="E93" s="329">
        <f t="shared" si="22"/>
        <v>1.14868566764928</v>
      </c>
      <c r="F93" s="333">
        <f>($L$16+SUM($K$16:K93))*E93</f>
        <v>34606.8551492535</v>
      </c>
      <c r="G93" s="329">
        <f t="shared" si="23"/>
        <v>1.10984491290178</v>
      </c>
      <c r="H93" s="332">
        <f>($L$16+SUM($K$16:K93))*G93</f>
        <v>33436.6861367114</v>
      </c>
      <c r="I93" s="329">
        <f t="shared" si="24"/>
        <v>1.07213535210701</v>
      </c>
      <c r="J93" s="332">
        <f>($L$16+SUM($K$16:K93))*I93</f>
        <v>32300.5970003011</v>
      </c>
      <c r="K93" s="330">
        <v>0</v>
      </c>
      <c r="L93" s="332">
        <f t="shared" si="18"/>
        <v>31409.24</v>
      </c>
      <c r="M93" s="335">
        <f t="shared" si="19"/>
        <v>0.00543597998550738</v>
      </c>
      <c r="N93" s="335">
        <f>O93/($L$16+SUM($K$16:K93))-1</f>
        <v>0.0482163217143228</v>
      </c>
      <c r="O93" s="336">
        <v>31579.98</v>
      </c>
      <c r="P93" s="88">
        <f t="shared" si="20"/>
        <v>0.0721353521070101</v>
      </c>
      <c r="Q93" s="347"/>
      <c r="R93" s="335"/>
      <c r="S93" s="335"/>
      <c r="T93" s="348">
        <v>87</v>
      </c>
      <c r="U93" s="348">
        <v>9</v>
      </c>
    </row>
    <row r="94" spans="1:21">
      <c r="A94" s="78">
        <v>45705</v>
      </c>
      <c r="B94" s="328">
        <v>8</v>
      </c>
      <c r="C94" s="329">
        <f t="shared" si="21"/>
        <v>1.26677008138762</v>
      </c>
      <c r="D94" s="332">
        <f>($L$16+SUM($K$16:K94))*C94</f>
        <v>38164.4256114932</v>
      </c>
      <c r="E94" s="329">
        <f t="shared" si="22"/>
        <v>1.17165938100227</v>
      </c>
      <c r="F94" s="333">
        <f>($L$16+SUM($K$16:K94))*E94</f>
        <v>35298.9922522386</v>
      </c>
      <c r="G94" s="329">
        <f t="shared" si="23"/>
        <v>1.12649258659531</v>
      </c>
      <c r="H94" s="332">
        <f>($L$16+SUM($K$16:K94))*G94</f>
        <v>33938.2364287621</v>
      </c>
      <c r="I94" s="329">
        <f t="shared" si="24"/>
        <v>1.08285670562808</v>
      </c>
      <c r="J94" s="332">
        <f>($L$16+SUM($K$16:K94))*I94</f>
        <v>32623.6029703041</v>
      </c>
      <c r="K94" s="330">
        <v>0</v>
      </c>
      <c r="L94" s="338">
        <f t="shared" si="18"/>
        <v>31579.98</v>
      </c>
      <c r="M94" s="340">
        <f t="shared" si="19"/>
        <v>-0.133679628676142</v>
      </c>
      <c r="N94" s="340">
        <f>O94/($L$16+SUM($K$16:K94))-1</f>
        <v>-0.0919088469447196</v>
      </c>
      <c r="O94" s="341">
        <v>27358.38</v>
      </c>
      <c r="P94" s="88">
        <f t="shared" si="20"/>
        <v>0.0828567056280802</v>
      </c>
      <c r="Q94" s="347"/>
      <c r="R94" s="335"/>
      <c r="S94" s="335"/>
      <c r="T94" s="348">
        <v>114</v>
      </c>
      <c r="U94" s="348">
        <v>7</v>
      </c>
    </row>
    <row r="95" spans="1:21">
      <c r="A95" s="78">
        <v>45706</v>
      </c>
      <c r="B95" s="328">
        <v>9</v>
      </c>
      <c r="C95" s="329">
        <f t="shared" si="21"/>
        <v>1.30477318382924</v>
      </c>
      <c r="D95" s="332">
        <f>($L$16+SUM($K$16:K95))*C95</f>
        <v>39309.358379838</v>
      </c>
      <c r="E95" s="329">
        <f t="shared" si="22"/>
        <v>1.19509256862231</v>
      </c>
      <c r="F95" s="333">
        <f>($L$16+SUM($K$16:K95))*E95</f>
        <v>36004.9720972834</v>
      </c>
      <c r="G95" s="329">
        <f t="shared" si="23"/>
        <v>1.14338997539424</v>
      </c>
      <c r="H95" s="332">
        <f>($L$16+SUM($K$16:K95))*G95</f>
        <v>34447.3099751935</v>
      </c>
      <c r="I95" s="329">
        <f t="shared" si="24"/>
        <v>1.09368527268436</v>
      </c>
      <c r="J95" s="332">
        <f>($L$16+SUM($K$16:K95))*I95</f>
        <v>32949.8390000072</v>
      </c>
      <c r="K95" s="330">
        <v>0</v>
      </c>
      <c r="L95" s="332">
        <f t="shared" si="18"/>
        <v>27358.38</v>
      </c>
      <c r="M95" s="335">
        <f t="shared" si="19"/>
        <v>0.0222235380896091</v>
      </c>
      <c r="N95" s="335">
        <f>O95/($L$16+SUM($K$16:K95))-1</f>
        <v>-0.0717278486159585</v>
      </c>
      <c r="O95" s="336">
        <v>27966.38</v>
      </c>
      <c r="P95" s="88">
        <f t="shared" si="20"/>
        <v>0.0936852726843609</v>
      </c>
      <c r="Q95" s="350"/>
      <c r="R95" s="340"/>
      <c r="S95" s="340"/>
      <c r="T95" s="348">
        <v>53</v>
      </c>
      <c r="U95" s="348">
        <v>21</v>
      </c>
    </row>
    <row r="96" spans="1:21">
      <c r="A96" s="78">
        <v>45707</v>
      </c>
      <c r="B96" s="328">
        <v>10</v>
      </c>
      <c r="C96" s="329">
        <f t="shared" si="21"/>
        <v>1.34391637934412</v>
      </c>
      <c r="D96" s="332">
        <f>($L$16+SUM($K$16:K96))*C96</f>
        <v>40488.6391312331</v>
      </c>
      <c r="E96" s="329">
        <f t="shared" si="22"/>
        <v>1.21899441999476</v>
      </c>
      <c r="F96" s="333">
        <f>($L$16+SUM($K$16:K96))*E96</f>
        <v>36725.0715392291</v>
      </c>
      <c r="G96" s="329">
        <f t="shared" si="23"/>
        <v>1.16054082502515</v>
      </c>
      <c r="H96" s="332">
        <f>($L$16+SUM($K$16:K96))*G96</f>
        <v>34964.0196248214</v>
      </c>
      <c r="I96" s="329">
        <f t="shared" si="24"/>
        <v>1.1046221254112</v>
      </c>
      <c r="J96" s="332">
        <f>($L$16+SUM($K$16:K96))*I96</f>
        <v>33279.3373900072</v>
      </c>
      <c r="K96" s="330">
        <v>0</v>
      </c>
      <c r="L96" s="338">
        <f t="shared" si="18"/>
        <v>27966.38</v>
      </c>
      <c r="M96" s="340">
        <f t="shared" si="19"/>
        <v>-0.0137271967269272</v>
      </c>
      <c r="N96" s="340">
        <f>O96/($L$16+SUM($K$16:K96))-1</f>
        <v>-0.0844704230541352</v>
      </c>
      <c r="O96" s="341">
        <v>27582.48</v>
      </c>
      <c r="P96" s="88">
        <f t="shared" si="20"/>
        <v>0.104622125411205</v>
      </c>
      <c r="Q96" s="347"/>
      <c r="R96" s="335"/>
      <c r="S96" s="335"/>
      <c r="T96" s="348">
        <v>120</v>
      </c>
      <c r="U96" s="348">
        <v>4</v>
      </c>
    </row>
    <row r="97" spans="1:21">
      <c r="A97" s="78">
        <v>45708</v>
      </c>
      <c r="B97" s="328">
        <v>11</v>
      </c>
      <c r="C97" s="329">
        <f t="shared" si="21"/>
        <v>1.38423387072445</v>
      </c>
      <c r="D97" s="332">
        <f>($L$16+SUM($K$16:K97))*C97</f>
        <v>41703.2983051701</v>
      </c>
      <c r="E97" s="329">
        <f t="shared" si="22"/>
        <v>1.24337430839465</v>
      </c>
      <c r="F97" s="333">
        <f>($L$16+SUM($K$16:K97))*E97</f>
        <v>37459.5729700136</v>
      </c>
      <c r="G97" s="329">
        <f t="shared" si="23"/>
        <v>1.17794893740053</v>
      </c>
      <c r="H97" s="332">
        <f>($L$16+SUM($K$16:K97))*G97</f>
        <v>35488.4799191937</v>
      </c>
      <c r="I97" s="329">
        <f t="shared" si="24"/>
        <v>1.11566834666532</v>
      </c>
      <c r="J97" s="332">
        <f>($L$16+SUM($K$16:K97))*I97</f>
        <v>33612.1307639073</v>
      </c>
      <c r="K97" s="330">
        <v>0</v>
      </c>
      <c r="L97" s="332">
        <f t="shared" si="18"/>
        <v>27582.48</v>
      </c>
      <c r="M97" s="335">
        <f t="shared" si="19"/>
        <v>0.0178482863034796</v>
      </c>
      <c r="N97" s="335">
        <f>O97/($L$16+SUM($K$16:K97))-1</f>
        <v>-0.0681297890455018</v>
      </c>
      <c r="O97" s="336">
        <v>28074.78</v>
      </c>
      <c r="P97" s="88">
        <f t="shared" si="20"/>
        <v>0.115668346665317</v>
      </c>
      <c r="Q97" s="350"/>
      <c r="R97" s="340"/>
      <c r="S97" s="340"/>
      <c r="T97" s="348">
        <v>107</v>
      </c>
      <c r="U97" s="348">
        <v>1</v>
      </c>
    </row>
    <row r="98" spans="1:21">
      <c r="A98" s="118">
        <v>45709</v>
      </c>
      <c r="B98" s="328">
        <v>12</v>
      </c>
      <c r="C98" s="329">
        <f t="shared" si="21"/>
        <v>1.42576088684618</v>
      </c>
      <c r="D98" s="332">
        <f>($L$16+SUM($K$16:K98))*C98</f>
        <v>42954.3972543252</v>
      </c>
      <c r="E98" s="329">
        <f t="shared" si="22"/>
        <v>1.26824179456255</v>
      </c>
      <c r="F98" s="333">
        <f>($L$16+SUM($K$16:K98))*E98</f>
        <v>38208.7644294139</v>
      </c>
      <c r="G98" s="329">
        <f t="shared" si="23"/>
        <v>1.19561817146153</v>
      </c>
      <c r="H98" s="332">
        <f>($L$16+SUM($K$16:K98))*G98</f>
        <v>36020.8071179816</v>
      </c>
      <c r="I98" s="329">
        <f t="shared" si="24"/>
        <v>1.12682503013197</v>
      </c>
      <c r="J98" s="332">
        <f>($L$16+SUM($K$16:K98))*I98</f>
        <v>33948.2520715464</v>
      </c>
      <c r="K98" s="330">
        <v>0</v>
      </c>
      <c r="L98" s="338">
        <f t="shared" si="18"/>
        <v>28074.78</v>
      </c>
      <c r="M98" s="340">
        <f t="shared" si="19"/>
        <v>-0.0478803395787963</v>
      </c>
      <c r="N98" s="340">
        <f>O98/($L$16+SUM($K$16:K98))-1</f>
        <v>-0.112748051189368</v>
      </c>
      <c r="O98" s="341">
        <v>26730.55</v>
      </c>
      <c r="P98" s="88">
        <f t="shared" si="20"/>
        <v>0.12682503013197</v>
      </c>
      <c r="Q98" s="347"/>
      <c r="R98" s="335"/>
      <c r="S98" s="335"/>
      <c r="T98" s="348">
        <v>119</v>
      </c>
      <c r="U98" s="348">
        <v>4</v>
      </c>
    </row>
    <row r="99" spans="1:21">
      <c r="A99" s="78">
        <v>45712</v>
      </c>
      <c r="B99" s="328">
        <v>13</v>
      </c>
      <c r="C99" s="329">
        <f t="shared" si="21"/>
        <v>1.46853371345156</v>
      </c>
      <c r="D99" s="332">
        <f>($L$16+SUM($K$16:K99))*C99</f>
        <v>44243.029171955</v>
      </c>
      <c r="E99" s="329">
        <f t="shared" si="22"/>
        <v>1.2936066304538</v>
      </c>
      <c r="F99" s="333">
        <f>($L$16+SUM($K$16:K99))*E99</f>
        <v>38972.9397180022</v>
      </c>
      <c r="G99" s="329">
        <f t="shared" si="23"/>
        <v>1.21355244403346</v>
      </c>
      <c r="H99" s="332">
        <f>($L$16+SUM($K$16:K99))*G99</f>
        <v>36561.1192247514</v>
      </c>
      <c r="I99" s="329">
        <f t="shared" si="24"/>
        <v>1.13809328043329</v>
      </c>
      <c r="J99" s="332">
        <f>($L$16+SUM($K$16:K99))*I99</f>
        <v>34287.7345922619</v>
      </c>
      <c r="K99" s="330">
        <v>0</v>
      </c>
      <c r="L99" s="338">
        <f t="shared" si="18"/>
        <v>26730.55</v>
      </c>
      <c r="M99" s="340">
        <f t="shared" si="19"/>
        <v>-0.000187051893806899</v>
      </c>
      <c r="N99" s="340">
        <f>O99/($L$16+SUM($K$16:K99))-1</f>
        <v>-0.112914013346677</v>
      </c>
      <c r="O99" s="341">
        <v>26725.55</v>
      </c>
      <c r="P99" s="88">
        <f t="shared" si="20"/>
        <v>0.13809328043329</v>
      </c>
      <c r="Q99" s="350"/>
      <c r="R99" s="340"/>
      <c r="S99" s="340"/>
      <c r="T99" s="348">
        <v>91</v>
      </c>
      <c r="U99" s="348">
        <v>18</v>
      </c>
    </row>
    <row r="100" spans="1:21">
      <c r="A100" s="78">
        <v>45713</v>
      </c>
      <c r="B100" s="328">
        <v>14</v>
      </c>
      <c r="C100" s="329">
        <f t="shared" si="21"/>
        <v>1.51258972485511</v>
      </c>
      <c r="D100" s="332">
        <f>($L$16+SUM($K$16:K100))*C100</f>
        <v>45570.3200471137</v>
      </c>
      <c r="E100" s="329">
        <f t="shared" si="22"/>
        <v>1.31947876306287</v>
      </c>
      <c r="F100" s="333">
        <f>($L$16+SUM($K$16:K100))*E100</f>
        <v>39752.3985123622</v>
      </c>
      <c r="G100" s="329">
        <f t="shared" si="23"/>
        <v>1.23175573069396</v>
      </c>
      <c r="H100" s="332">
        <f>($L$16+SUM($K$16:K100))*G100</f>
        <v>37109.5360131226</v>
      </c>
      <c r="I100" s="329">
        <f t="shared" si="24"/>
        <v>1.14947421323762</v>
      </c>
      <c r="J100" s="332">
        <f>($L$16+SUM($K$16:K100))*I100</f>
        <v>34630.6119381845</v>
      </c>
      <c r="K100" s="330">
        <v>0</v>
      </c>
      <c r="L100" s="338">
        <f t="shared" si="18"/>
        <v>26725.55</v>
      </c>
      <c r="M100" s="340">
        <f t="shared" si="19"/>
        <v>-0.00562308352868318</v>
      </c>
      <c r="N100" s="340">
        <f>O100/($L$16+SUM($K$16:K100))-1</f>
        <v>-0.117902171946753</v>
      </c>
      <c r="O100" s="341">
        <v>26575.27</v>
      </c>
      <c r="P100" s="88">
        <f t="shared" si="20"/>
        <v>0.149474213237623</v>
      </c>
      <c r="Q100" s="350"/>
      <c r="R100" s="340"/>
      <c r="S100" s="340"/>
      <c r="T100" s="348">
        <v>65</v>
      </c>
      <c r="U100" s="348">
        <v>7</v>
      </c>
    </row>
    <row r="101" spans="1:21">
      <c r="A101" s="78">
        <v>45714</v>
      </c>
      <c r="B101" s="328">
        <v>15</v>
      </c>
      <c r="C101" s="329">
        <f t="shared" si="21"/>
        <v>1.55796741660077</v>
      </c>
      <c r="D101" s="332">
        <f>($L$16+SUM($K$16:K101))*C101</f>
        <v>46937.4296485271</v>
      </c>
      <c r="E101" s="329">
        <f t="shared" si="22"/>
        <v>1.34586833832413</v>
      </c>
      <c r="F101" s="333">
        <f>($L$16+SUM($K$16:K101))*E101</f>
        <v>40547.4464826095</v>
      </c>
      <c r="G101" s="329">
        <f t="shared" si="23"/>
        <v>1.25023206665437</v>
      </c>
      <c r="H101" s="332">
        <f>($L$16+SUM($K$16:K101))*G101</f>
        <v>37666.1790533195</v>
      </c>
      <c r="I101" s="329">
        <f t="shared" si="24"/>
        <v>1.16096895537</v>
      </c>
      <c r="J101" s="332">
        <f>($L$16+SUM($K$16:K101))*I101</f>
        <v>34976.9180575663</v>
      </c>
      <c r="K101" s="330">
        <v>0</v>
      </c>
      <c r="L101" s="332">
        <f t="shared" si="18"/>
        <v>26575.27</v>
      </c>
      <c r="M101" s="335">
        <f t="shared" si="19"/>
        <v>0.0382197433930117</v>
      </c>
      <c r="N101" s="335">
        <f>O101/($L$16+SUM($K$16:K101))-1</f>
        <v>-0.0841886193110246</v>
      </c>
      <c r="O101" s="336">
        <v>27590.97</v>
      </c>
      <c r="P101" s="88">
        <f t="shared" si="20"/>
        <v>0.160968955369999</v>
      </c>
      <c r="Q101" s="347"/>
      <c r="R101" s="335"/>
      <c r="S101" s="335"/>
      <c r="T101" s="348">
        <v>108</v>
      </c>
      <c r="U101" s="348">
        <v>3</v>
      </c>
    </row>
    <row r="102" spans="1:21">
      <c r="A102" s="78">
        <v>45715</v>
      </c>
      <c r="B102" s="328">
        <v>16</v>
      </c>
      <c r="C102" s="329">
        <f t="shared" si="21"/>
        <v>1.60470643909879</v>
      </c>
      <c r="D102" s="332">
        <f>($L$16+SUM($K$16:K102))*C102</f>
        <v>48345.5525379829</v>
      </c>
      <c r="E102" s="329">
        <f t="shared" si="22"/>
        <v>1.37278570509061</v>
      </c>
      <c r="F102" s="333">
        <f>($L$16+SUM($K$16:K102))*E102</f>
        <v>41358.3954122617</v>
      </c>
      <c r="G102" s="329">
        <f t="shared" si="23"/>
        <v>1.26898554765418</v>
      </c>
      <c r="H102" s="332">
        <f>($L$16+SUM($K$16:K102))*G102</f>
        <v>38231.1717391193</v>
      </c>
      <c r="I102" s="329">
        <f t="shared" si="24"/>
        <v>1.1725786449237</v>
      </c>
      <c r="J102" s="332">
        <f>($L$16+SUM($K$16:K102))*I102</f>
        <v>35326.687238142</v>
      </c>
      <c r="K102" s="330">
        <v>0</v>
      </c>
      <c r="L102" s="338">
        <f t="shared" si="18"/>
        <v>27590.97</v>
      </c>
      <c r="M102" s="340">
        <f t="shared" si="19"/>
        <v>-0.0263488380437513</v>
      </c>
      <c r="N102" s="340">
        <f>O102/($L$16+SUM($K$16:K102))-1</f>
        <v>-0.108319185059423</v>
      </c>
      <c r="O102" s="341">
        <v>26863.98</v>
      </c>
      <c r="P102" s="88">
        <f t="shared" si="20"/>
        <v>0.172578644923699</v>
      </c>
      <c r="Q102" s="347"/>
      <c r="R102" s="335"/>
      <c r="S102" s="335"/>
      <c r="T102" s="348">
        <v>90</v>
      </c>
      <c r="U102" s="348">
        <v>12</v>
      </c>
    </row>
    <row r="103" spans="1:21">
      <c r="A103" s="118">
        <v>45716</v>
      </c>
      <c r="B103" s="328">
        <v>17</v>
      </c>
      <c r="C103" s="329">
        <f t="shared" si="21"/>
        <v>1.65284763227175</v>
      </c>
      <c r="D103" s="332">
        <f>($L$16+SUM($K$16:K103))*C103</f>
        <v>49795.9191141223</v>
      </c>
      <c r="E103" s="329">
        <f t="shared" si="22"/>
        <v>1.40024141919242</v>
      </c>
      <c r="F103" s="333">
        <f>($L$16+SUM($K$16:K103))*E103</f>
        <v>42185.5633205067</v>
      </c>
      <c r="G103" s="329">
        <f t="shared" si="23"/>
        <v>1.288020330869</v>
      </c>
      <c r="H103" s="332">
        <f>($L$16+SUM($K$16:K103))*G103</f>
        <v>38804.6393152062</v>
      </c>
      <c r="I103" s="329">
        <f t="shared" si="24"/>
        <v>1.18430443137294</v>
      </c>
      <c r="J103" s="332">
        <f>($L$16+SUM($K$16:K103))*I103</f>
        <v>35679.9541105235</v>
      </c>
      <c r="K103" s="330">
        <v>0</v>
      </c>
      <c r="L103" s="338">
        <f t="shared" si="18"/>
        <v>26863.98</v>
      </c>
      <c r="M103" s="340">
        <f t="shared" si="19"/>
        <v>-0.0505692008406795</v>
      </c>
      <c r="N103" s="340">
        <f>O103/($L$16+SUM($K$16:K103))-1</f>
        <v>-0.153410771275934</v>
      </c>
      <c r="O103" s="341">
        <v>25505.49</v>
      </c>
      <c r="P103" s="88">
        <f t="shared" si="20"/>
        <v>0.184304431372936</v>
      </c>
      <c r="Q103" s="350"/>
      <c r="R103" s="340"/>
      <c r="S103" s="340"/>
      <c r="T103" s="348">
        <v>56</v>
      </c>
      <c r="U103" s="348">
        <v>47</v>
      </c>
    </row>
    <row r="104" spans="1:21">
      <c r="A104" s="78">
        <v>45719</v>
      </c>
      <c r="B104" s="328">
        <v>18</v>
      </c>
      <c r="C104" s="329">
        <f t="shared" ref="C104:C123" si="25">POWER($C$87,B104)</f>
        <v>1.7024330612399</v>
      </c>
      <c r="D104" s="332">
        <f>($L$16+SUM($K$16:K104))*C104</f>
        <v>51289.7966875459</v>
      </c>
      <c r="E104" s="329">
        <f t="shared" ref="E104:E123" si="26">POWER($E$87,B104)</f>
        <v>1.42824624757627</v>
      </c>
      <c r="F104" s="333">
        <f>($L$16+SUM($K$16:K104))*E104</f>
        <v>43029.2745869169</v>
      </c>
      <c r="G104" s="329">
        <f t="shared" ref="G104:G123" si="27">POWER($G$87,B104)</f>
        <v>1.30734063583203</v>
      </c>
      <c r="H104" s="332">
        <f>($L$16+SUM($K$16:K104))*G104</f>
        <v>39386.7089049341</v>
      </c>
      <c r="I104" s="329">
        <f t="shared" ref="I104:I123" si="28">POWER($I$87,B104)</f>
        <v>1.19614747568667</v>
      </c>
      <c r="J104" s="332">
        <f>($L$16+SUM($K$16:K104))*I104</f>
        <v>36036.7536516288</v>
      </c>
      <c r="K104" s="330">
        <v>0</v>
      </c>
      <c r="L104" s="338">
        <f t="shared" si="18"/>
        <v>25505.49</v>
      </c>
      <c r="M104" s="340">
        <f t="shared" si="19"/>
        <v>-0.0129383909111332</v>
      </c>
      <c r="N104" s="340">
        <f>O104/($L$16+SUM($K$16:K104))-1</f>
        <v>-0.16436427365832</v>
      </c>
      <c r="O104" s="341">
        <v>25175.49</v>
      </c>
      <c r="P104" s="88">
        <f t="shared" ref="P104:P135" si="29">I104-1</f>
        <v>0.19614747568667</v>
      </c>
      <c r="Q104" s="350"/>
      <c r="R104" s="340"/>
      <c r="S104" s="340"/>
      <c r="T104" s="348">
        <v>70</v>
      </c>
      <c r="U104" s="348">
        <v>34</v>
      </c>
    </row>
    <row r="105" spans="1:21">
      <c r="A105" s="78">
        <v>45720</v>
      </c>
      <c r="B105" s="328">
        <v>19</v>
      </c>
      <c r="C105" s="329">
        <f t="shared" si="25"/>
        <v>1.7535060530771</v>
      </c>
      <c r="D105" s="332">
        <f>($L$16+SUM($K$16:K105))*C105</f>
        <v>52828.4905881724</v>
      </c>
      <c r="E105" s="329">
        <f t="shared" si="26"/>
        <v>1.4568111725278</v>
      </c>
      <c r="F105" s="333">
        <f>($L$16+SUM($K$16:K105))*E105</f>
        <v>43889.8600786554</v>
      </c>
      <c r="G105" s="329">
        <f t="shared" si="27"/>
        <v>1.32695074536951</v>
      </c>
      <c r="H105" s="332">
        <f>($L$16+SUM($K$16:K105))*G105</f>
        <v>39977.5095385081</v>
      </c>
      <c r="I105" s="329">
        <f t="shared" si="28"/>
        <v>1.20810895044353</v>
      </c>
      <c r="J105" s="332">
        <f>($L$16+SUM($K$16:K105))*I105</f>
        <v>36397.1211881449</v>
      </c>
      <c r="K105" s="330">
        <v>0</v>
      </c>
      <c r="L105" s="338">
        <f t="shared" si="18"/>
        <v>25175.49</v>
      </c>
      <c r="M105" s="340">
        <f t="shared" si="19"/>
        <v>-0.0149335722959117</v>
      </c>
      <c r="N105" s="340">
        <f>O105/($L$16+SUM($K$16:K105))-1</f>
        <v>-0.17684330019069</v>
      </c>
      <c r="O105" s="341">
        <v>24799.53</v>
      </c>
      <c r="P105" s="88">
        <f t="shared" si="29"/>
        <v>0.20810895044353</v>
      </c>
      <c r="Q105" s="347"/>
      <c r="R105" s="335"/>
      <c r="S105" s="335"/>
      <c r="T105" s="348">
        <v>88</v>
      </c>
      <c r="U105" s="348">
        <v>13</v>
      </c>
    </row>
    <row r="106" spans="1:21">
      <c r="A106" s="78">
        <v>45721</v>
      </c>
      <c r="B106" s="328">
        <v>20</v>
      </c>
      <c r="C106" s="329">
        <f t="shared" si="25"/>
        <v>1.80611123466941</v>
      </c>
      <c r="D106" s="332">
        <f>($L$16+SUM($K$16:K106))*C106</f>
        <v>54413.3453058174</v>
      </c>
      <c r="E106" s="329">
        <f t="shared" si="26"/>
        <v>1.48594739597835</v>
      </c>
      <c r="F106" s="333">
        <f>($L$16+SUM($K$16:K106))*E106</f>
        <v>44767.6572802283</v>
      </c>
      <c r="G106" s="329">
        <f t="shared" si="27"/>
        <v>1.34685500655005</v>
      </c>
      <c r="H106" s="332">
        <f>($L$16+SUM($K$16:K106))*G106</f>
        <v>40577.1721815856</v>
      </c>
      <c r="I106" s="329">
        <f t="shared" si="28"/>
        <v>1.22019003994797</v>
      </c>
      <c r="J106" s="332">
        <f>($L$16+SUM($K$16:K106))*I106</f>
        <v>36761.0924000265</v>
      </c>
      <c r="K106" s="330">
        <v>0</v>
      </c>
      <c r="L106" s="332">
        <f t="shared" si="18"/>
        <v>24799.53</v>
      </c>
      <c r="M106" s="335">
        <f t="shared" si="19"/>
        <v>0.00658076987749368</v>
      </c>
      <c r="N106" s="335">
        <f>O106/($L$16+SUM($K$16:K106))-1</f>
        <v>-0.171426295376128</v>
      </c>
      <c r="O106" s="336">
        <v>24962.73</v>
      </c>
      <c r="P106" s="88">
        <f t="shared" si="29"/>
        <v>0.22019003994797</v>
      </c>
      <c r="Q106" s="347"/>
      <c r="R106" s="335"/>
      <c r="S106" s="335"/>
      <c r="T106" s="348">
        <v>70</v>
      </c>
      <c r="U106" s="348">
        <v>6</v>
      </c>
    </row>
    <row r="107" spans="1:21">
      <c r="A107" s="78">
        <v>45722</v>
      </c>
      <c r="B107" s="328">
        <v>21</v>
      </c>
      <c r="C107" s="329">
        <f t="shared" si="25"/>
        <v>1.8602945717095</v>
      </c>
      <c r="D107" s="332">
        <f>($L$16+SUM($K$16:K107))*C107</f>
        <v>56045.7456649922</v>
      </c>
      <c r="E107" s="329">
        <f t="shared" si="26"/>
        <v>1.51566634389792</v>
      </c>
      <c r="F107" s="333">
        <f>($L$16+SUM($K$16:K107))*E107</f>
        <v>45663.010425833</v>
      </c>
      <c r="G107" s="329">
        <f t="shared" si="27"/>
        <v>1.3670578316483</v>
      </c>
      <c r="H107" s="332">
        <f>($L$16+SUM($K$16:K107))*G107</f>
        <v>41185.8297643094</v>
      </c>
      <c r="I107" s="329">
        <f t="shared" si="28"/>
        <v>1.23239194034745</v>
      </c>
      <c r="J107" s="332">
        <f>($L$16+SUM($K$16:K107))*I107</f>
        <v>37128.7033240267</v>
      </c>
      <c r="K107" s="330">
        <v>0</v>
      </c>
      <c r="L107" s="338">
        <f t="shared" si="18"/>
        <v>24962.73</v>
      </c>
      <c r="M107" s="340">
        <f t="shared" si="19"/>
        <v>-0.00576859982862451</v>
      </c>
      <c r="N107" s="340">
        <f>O107/($L$16+SUM($K$16:K107))-1</f>
        <v>-0.176206005506624</v>
      </c>
      <c r="O107" s="341">
        <v>24818.73</v>
      </c>
      <c r="P107" s="88">
        <f t="shared" si="29"/>
        <v>0.23239194034745</v>
      </c>
      <c r="Q107" s="347"/>
      <c r="R107" s="335"/>
      <c r="S107" s="335"/>
      <c r="T107" s="348">
        <v>118</v>
      </c>
      <c r="U107" s="348">
        <v>5</v>
      </c>
    </row>
    <row r="108" spans="1:21">
      <c r="A108" s="118">
        <v>45723</v>
      </c>
      <c r="B108" s="328">
        <v>22</v>
      </c>
      <c r="C108" s="329">
        <f t="shared" si="25"/>
        <v>1.91610340886078</v>
      </c>
      <c r="D108" s="332">
        <f>($L$16+SUM($K$16:K108))*C108</f>
        <v>57727.1180349418</v>
      </c>
      <c r="E108" s="329">
        <f t="shared" si="26"/>
        <v>1.54597967077588</v>
      </c>
      <c r="F108" s="333">
        <f>($L$16+SUM($K$16:K108))*E108</f>
        <v>46576.2706343497</v>
      </c>
      <c r="G108" s="329">
        <f t="shared" si="27"/>
        <v>1.38756369912303</v>
      </c>
      <c r="H108" s="332">
        <f>($L$16+SUM($K$16:K108))*G108</f>
        <v>41803.6172107742</v>
      </c>
      <c r="I108" s="329">
        <f t="shared" si="28"/>
        <v>1.24471585975092</v>
      </c>
      <c r="J108" s="332">
        <f>($L$16+SUM($K$16:K108))*I108</f>
        <v>37499.9903572669</v>
      </c>
      <c r="K108" s="330">
        <v>0</v>
      </c>
      <c r="L108" s="359">
        <f t="shared" si="18"/>
        <v>24818.73</v>
      </c>
      <c r="M108" s="360">
        <f t="shared" si="19"/>
        <v>0</v>
      </c>
      <c r="N108" s="360">
        <f>O108/($L$16+SUM($K$16:K108))-1</f>
        <v>-0.176206005506624</v>
      </c>
      <c r="O108" s="361">
        <v>24818.73</v>
      </c>
      <c r="P108" s="88">
        <f t="shared" si="29"/>
        <v>0.24471585975092</v>
      </c>
      <c r="Q108" s="350"/>
      <c r="R108" s="340"/>
      <c r="S108" s="340"/>
      <c r="T108" s="348">
        <v>62</v>
      </c>
      <c r="U108" s="348">
        <v>12</v>
      </c>
    </row>
    <row r="109" spans="1:21">
      <c r="A109" s="78">
        <v>45726</v>
      </c>
      <c r="B109" s="328">
        <v>23</v>
      </c>
      <c r="C109" s="329">
        <f t="shared" si="25"/>
        <v>1.97358651112661</v>
      </c>
      <c r="D109" s="332">
        <f>($L$16+SUM($K$16:K109))*C109</f>
        <v>59458.9315759903</v>
      </c>
      <c r="E109" s="329">
        <f t="shared" si="26"/>
        <v>1.5768992641914</v>
      </c>
      <c r="F109" s="333">
        <f>($L$16+SUM($K$16:K109))*E109</f>
        <v>47507.7960470368</v>
      </c>
      <c r="G109" s="329">
        <f t="shared" si="27"/>
        <v>1.40837715460987</v>
      </c>
      <c r="H109" s="332">
        <f>($L$16+SUM($K$16:K109))*G109</f>
        <v>42430.6714689357</v>
      </c>
      <c r="I109" s="329">
        <f t="shared" si="28"/>
        <v>1.25716301834843</v>
      </c>
      <c r="J109" s="332">
        <f>($L$16+SUM($K$16:K109))*I109</f>
        <v>37874.9902608396</v>
      </c>
      <c r="K109" s="330">
        <v>0</v>
      </c>
      <c r="L109" s="332">
        <f t="shared" si="18"/>
        <v>24818.73</v>
      </c>
      <c r="M109" s="335">
        <f t="shared" si="19"/>
        <v>0.00132964096067768</v>
      </c>
      <c r="N109" s="335">
        <f>O109/($L$16+SUM($K$16:K109))-1</f>
        <v>-0.175110655268386</v>
      </c>
      <c r="O109" s="336">
        <v>24851.73</v>
      </c>
      <c r="P109" s="88">
        <f t="shared" si="29"/>
        <v>0.25716301834843</v>
      </c>
      <c r="Q109" s="350"/>
      <c r="R109" s="340"/>
      <c r="S109" s="340"/>
      <c r="T109" s="348">
        <v>93</v>
      </c>
      <c r="U109" s="348">
        <v>8</v>
      </c>
    </row>
    <row r="110" spans="1:21">
      <c r="A110" s="78">
        <v>45727</v>
      </c>
      <c r="B110" s="328">
        <v>24</v>
      </c>
      <c r="C110" s="329">
        <f t="shared" si="25"/>
        <v>2.0327941064604</v>
      </c>
      <c r="D110" s="332">
        <f>($L$16+SUM($K$16:K110))*C110</f>
        <v>61242.6995232697</v>
      </c>
      <c r="E110" s="329">
        <f t="shared" si="26"/>
        <v>1.60843724947523</v>
      </c>
      <c r="F110" s="333">
        <f>($L$16+SUM($K$16:K110))*E110</f>
        <v>48457.9519679776</v>
      </c>
      <c r="G110" s="329">
        <f t="shared" si="27"/>
        <v>1.42950281192902</v>
      </c>
      <c r="H110" s="332">
        <f>($L$16+SUM($K$16:K110))*G110</f>
        <v>43067.1315409698</v>
      </c>
      <c r="I110" s="329">
        <f t="shared" si="28"/>
        <v>1.26973464853191</v>
      </c>
      <c r="J110" s="332">
        <f>($L$16+SUM($K$16:K110))*I110</f>
        <v>38253.7401634478</v>
      </c>
      <c r="K110" s="330">
        <v>0</v>
      </c>
      <c r="L110" s="338">
        <f t="shared" si="18"/>
        <v>24851.73</v>
      </c>
      <c r="M110" s="340">
        <f t="shared" si="19"/>
        <v>-0.00309837584747621</v>
      </c>
      <c r="N110" s="340">
        <f>O110/($L$16+SUM($K$16:K110))-1</f>
        <v>-0.177666472490943</v>
      </c>
      <c r="O110" s="341">
        <v>24774.73</v>
      </c>
      <c r="P110" s="88">
        <f t="shared" si="29"/>
        <v>0.26973464853191</v>
      </c>
      <c r="Q110" s="347"/>
      <c r="R110" s="335"/>
      <c r="S110" s="335"/>
      <c r="T110" s="348">
        <v>66</v>
      </c>
      <c r="U110" s="348">
        <v>5</v>
      </c>
    </row>
    <row r="111" spans="1:21">
      <c r="A111" s="78">
        <v>45728</v>
      </c>
      <c r="B111" s="328">
        <v>25</v>
      </c>
      <c r="C111" s="329">
        <f t="shared" si="25"/>
        <v>2.09377792965422</v>
      </c>
      <c r="D111" s="332">
        <f>($L$16+SUM($K$16:K111))*C111</f>
        <v>63079.9805089681</v>
      </c>
      <c r="E111" s="329">
        <f t="shared" si="26"/>
        <v>1.64060599446473</v>
      </c>
      <c r="F111" s="333">
        <f>($L$16+SUM($K$16:K111))*E111</f>
        <v>49427.111007337</v>
      </c>
      <c r="G111" s="329">
        <f t="shared" si="27"/>
        <v>1.45094535410796</v>
      </c>
      <c r="H111" s="332">
        <f>($L$16+SUM($K$16:K111))*G111</f>
        <v>43713.1385140844</v>
      </c>
      <c r="I111" s="329">
        <f t="shared" si="28"/>
        <v>1.28243199501723</v>
      </c>
      <c r="J111" s="332">
        <f>($L$16+SUM($K$16:K111))*I111</f>
        <v>38636.2775650823</v>
      </c>
      <c r="K111" s="330">
        <v>0</v>
      </c>
      <c r="L111" s="338">
        <f t="shared" ref="L111:L124" si="30">IF(K111&gt;0,K111+O110,O110)</f>
        <v>24774.73</v>
      </c>
      <c r="M111" s="340">
        <f t="shared" si="19"/>
        <v>-0.0107771103862686</v>
      </c>
      <c r="N111" s="340">
        <f>O111/($L$16+SUM($K$16:K111))-1</f>
        <v>-0.186528851691237</v>
      </c>
      <c r="O111" s="341">
        <v>24507.73</v>
      </c>
      <c r="P111" s="88">
        <f t="shared" si="29"/>
        <v>0.28243199501723</v>
      </c>
      <c r="Q111" s="350"/>
      <c r="R111" s="340"/>
      <c r="S111" s="340"/>
      <c r="T111" s="348">
        <v>94</v>
      </c>
      <c r="U111" s="348">
        <v>2</v>
      </c>
    </row>
    <row r="112" spans="1:21">
      <c r="A112" s="78">
        <v>45729</v>
      </c>
      <c r="B112" s="328">
        <v>26</v>
      </c>
      <c r="C112" s="329">
        <f t="shared" si="25"/>
        <v>2.15659126754384</v>
      </c>
      <c r="D112" s="332">
        <f>($L$16+SUM($K$16:K112))*C112</f>
        <v>64972.3799242369</v>
      </c>
      <c r="E112" s="329">
        <f t="shared" si="26"/>
        <v>1.67341811435403</v>
      </c>
      <c r="F112" s="333">
        <f>($L$16+SUM($K$16:K112))*E112</f>
        <v>50415.6532274839</v>
      </c>
      <c r="G112" s="329">
        <f t="shared" si="27"/>
        <v>1.47270953441958</v>
      </c>
      <c r="H112" s="332">
        <f>($L$16+SUM($K$16:K112))*G112</f>
        <v>44368.8355917957</v>
      </c>
      <c r="I112" s="329">
        <f t="shared" si="28"/>
        <v>1.29525631496741</v>
      </c>
      <c r="J112" s="332">
        <f>($L$16+SUM($K$16:K112))*I112</f>
        <v>39022.6403407334</v>
      </c>
      <c r="K112" s="330">
        <v>0</v>
      </c>
      <c r="L112" s="338">
        <f t="shared" si="30"/>
        <v>24507.73</v>
      </c>
      <c r="M112" s="340">
        <f t="shared" si="19"/>
        <v>-0.0408034526249473</v>
      </c>
      <c r="N112" s="340">
        <f>O112/($L$16+SUM($K$16:K112))-1</f>
        <v>-0.219721283153015</v>
      </c>
      <c r="O112" s="341">
        <v>23507.73</v>
      </c>
      <c r="P112" s="88">
        <f t="shared" si="29"/>
        <v>0.29525631496741</v>
      </c>
      <c r="Q112" s="350"/>
      <c r="R112" s="340"/>
      <c r="S112" s="340"/>
      <c r="T112" s="348">
        <v>57</v>
      </c>
      <c r="U112" s="348">
        <v>14</v>
      </c>
    </row>
    <row r="113" spans="1:21">
      <c r="A113" s="118">
        <v>45730</v>
      </c>
      <c r="B113" s="328">
        <v>27</v>
      </c>
      <c r="C113" s="329">
        <f t="shared" si="25"/>
        <v>2.22128900557016</v>
      </c>
      <c r="D113" s="332">
        <f>($L$16+SUM($K$16:K113))*C113</f>
        <v>66921.5513219642</v>
      </c>
      <c r="E113" s="329">
        <f t="shared" si="26"/>
        <v>1.70688647664111</v>
      </c>
      <c r="F113" s="333">
        <f>($L$16+SUM($K$16:K113))*E113</f>
        <v>51423.9662920335</v>
      </c>
      <c r="G113" s="329">
        <f t="shared" si="27"/>
        <v>1.49480017743587</v>
      </c>
      <c r="H113" s="332">
        <f>($L$16+SUM($K$16:K113))*G113</f>
        <v>45034.3681256726</v>
      </c>
      <c r="I113" s="329">
        <f t="shared" si="28"/>
        <v>1.30820887811708</v>
      </c>
      <c r="J113" s="332">
        <f>($L$16+SUM($K$16:K113))*I113</f>
        <v>39412.8667441406</v>
      </c>
      <c r="K113" s="330">
        <v>0</v>
      </c>
      <c r="L113" s="332">
        <f t="shared" si="30"/>
        <v>23507.73</v>
      </c>
      <c r="M113" s="335">
        <f t="shared" si="19"/>
        <v>0.0289266551895908</v>
      </c>
      <c r="N113" s="335">
        <f>O113/($L$16+SUM($K$16:K113))-1</f>
        <v>-0.197150429759006</v>
      </c>
      <c r="O113" s="336">
        <v>24187.73</v>
      </c>
      <c r="P113" s="88">
        <f t="shared" si="29"/>
        <v>0.30820887811708</v>
      </c>
      <c r="Q113" s="347"/>
      <c r="R113" s="335"/>
      <c r="S113" s="335"/>
      <c r="T113" s="348">
        <v>96</v>
      </c>
      <c r="U113" s="348">
        <v>6</v>
      </c>
    </row>
    <row r="114" spans="1:21">
      <c r="A114" s="78">
        <v>45733</v>
      </c>
      <c r="B114" s="328">
        <v>28</v>
      </c>
      <c r="C114" s="329">
        <f t="shared" si="25"/>
        <v>2.28792767573726</v>
      </c>
      <c r="D114" s="332">
        <f>($L$16+SUM($K$16:K114))*C114</f>
        <v>68929.1978616229</v>
      </c>
      <c r="E114" s="329">
        <f t="shared" si="26"/>
        <v>1.74102420617393</v>
      </c>
      <c r="F114" s="333">
        <f>($L$16+SUM($K$16:K114))*E114</f>
        <v>52452.4456178741</v>
      </c>
      <c r="G114" s="329">
        <f t="shared" si="27"/>
        <v>1.51722218009741</v>
      </c>
      <c r="H114" s="332">
        <f>($L$16+SUM($K$16:K114))*G114</f>
        <v>45709.8836475577</v>
      </c>
      <c r="I114" s="329">
        <f t="shared" si="28"/>
        <v>1.32129096689825</v>
      </c>
      <c r="J114" s="332">
        <f>($L$16+SUM($K$16:K114))*I114</f>
        <v>39806.995411582</v>
      </c>
      <c r="K114" s="330">
        <v>0</v>
      </c>
      <c r="L114" s="338">
        <f t="shared" si="30"/>
        <v>24187.73</v>
      </c>
      <c r="M114" s="340">
        <f t="shared" ref="M114:M124" si="31">(O114-L114)/L114</f>
        <v>-0.00603611831288013</v>
      </c>
      <c r="N114" s="340">
        <f>O114/($L$16+SUM($K$16:K114))-1</f>
        <v>-0.201996524752426</v>
      </c>
      <c r="O114" s="341">
        <v>24041.73</v>
      </c>
      <c r="P114" s="88">
        <f t="shared" si="29"/>
        <v>0.32129096689825</v>
      </c>
      <c r="Q114" s="347"/>
      <c r="R114" s="335"/>
      <c r="S114" s="335"/>
      <c r="T114" s="348">
        <v>84</v>
      </c>
      <c r="U114" s="348">
        <v>11</v>
      </c>
    </row>
    <row r="115" spans="1:21">
      <c r="A115" s="78">
        <v>45734</v>
      </c>
      <c r="B115" s="328">
        <v>29</v>
      </c>
      <c r="C115" s="329">
        <f t="shared" si="25"/>
        <v>2.35656550600938</v>
      </c>
      <c r="D115" s="332">
        <f>($L$16+SUM($K$16:K115))*C115</f>
        <v>70997.0737974717</v>
      </c>
      <c r="E115" s="329">
        <f t="shared" si="26"/>
        <v>1.77584469029741</v>
      </c>
      <c r="F115" s="333">
        <f>($L$16+SUM($K$16:K115))*E115</f>
        <v>53501.4945302317</v>
      </c>
      <c r="G115" s="329">
        <f t="shared" si="27"/>
        <v>1.53998051279887</v>
      </c>
      <c r="H115" s="332">
        <f>($L$16+SUM($K$16:K115))*G115</f>
        <v>46395.531902271</v>
      </c>
      <c r="I115" s="329">
        <f t="shared" si="28"/>
        <v>1.33450387656723</v>
      </c>
      <c r="J115" s="332">
        <f>($L$16+SUM($K$16:K115))*I115</f>
        <v>40205.0653656977</v>
      </c>
      <c r="K115" s="330">
        <v>0</v>
      </c>
      <c r="L115" s="338">
        <f t="shared" si="30"/>
        <v>24041.73</v>
      </c>
      <c r="M115" s="340">
        <f t="shared" si="31"/>
        <v>-0.00316117018201269</v>
      </c>
      <c r="N115" s="340">
        <f>O115/($L$16+SUM($K$16:K115))-1</f>
        <v>-0.204519149543521</v>
      </c>
      <c r="O115" s="341">
        <v>23965.73</v>
      </c>
      <c r="P115" s="88">
        <f t="shared" si="29"/>
        <v>0.33450387656723</v>
      </c>
      <c r="Q115" s="347"/>
      <c r="R115" s="335"/>
      <c r="S115" s="335"/>
      <c r="T115" s="348">
        <v>78</v>
      </c>
      <c r="U115" s="348">
        <v>11</v>
      </c>
    </row>
    <row r="116" spans="1:21">
      <c r="A116" s="78">
        <v>45735</v>
      </c>
      <c r="B116" s="328">
        <v>30</v>
      </c>
      <c r="C116" s="329">
        <f t="shared" si="25"/>
        <v>2.42726247118966</v>
      </c>
      <c r="D116" s="332">
        <f>($L$16+SUM($K$16:K116))*C116</f>
        <v>73126.9860113958</v>
      </c>
      <c r="E116" s="329">
        <f t="shared" si="26"/>
        <v>1.81136158410335</v>
      </c>
      <c r="F116" s="333">
        <f>($L$16+SUM($K$16:K116))*E116</f>
        <v>54571.5244208361</v>
      </c>
      <c r="G116" s="329">
        <f t="shared" si="27"/>
        <v>1.56308022049085</v>
      </c>
      <c r="H116" s="332">
        <f>($L$16+SUM($K$16:K116))*G116</f>
        <v>47091.464880805</v>
      </c>
      <c r="I116" s="329">
        <f t="shared" si="28"/>
        <v>1.34784891533291</v>
      </c>
      <c r="J116" s="332">
        <f>($L$16+SUM($K$16:K116))*I116</f>
        <v>40607.1160193549</v>
      </c>
      <c r="K116" s="330">
        <v>0</v>
      </c>
      <c r="L116" s="338">
        <f t="shared" si="30"/>
        <v>23965.73</v>
      </c>
      <c r="M116" s="340">
        <f t="shared" si="31"/>
        <v>-0.00801143966822625</v>
      </c>
      <c r="N116" s="340">
        <f>O116/($L$16+SUM($K$16:K116))-1</f>
        <v>-0.210892096384182</v>
      </c>
      <c r="O116" s="341">
        <v>23773.73</v>
      </c>
      <c r="P116" s="88">
        <f t="shared" si="29"/>
        <v>0.34784891533291</v>
      </c>
      <c r="Q116" s="350"/>
      <c r="R116" s="362"/>
      <c r="S116" s="340"/>
      <c r="T116" s="348">
        <v>56</v>
      </c>
      <c r="U116" s="348">
        <v>8</v>
      </c>
    </row>
    <row r="117" spans="1:21">
      <c r="A117" s="78">
        <v>45736</v>
      </c>
      <c r="B117" s="328">
        <v>31</v>
      </c>
      <c r="C117" s="329">
        <f t="shared" si="25"/>
        <v>2.50008034532535</v>
      </c>
      <c r="D117" s="332">
        <f>($L$16+SUM($K$16:K117))*C117</f>
        <v>75320.7955917377</v>
      </c>
      <c r="E117" s="329">
        <f t="shared" si="26"/>
        <v>1.84758881578542</v>
      </c>
      <c r="F117" s="333">
        <f>($L$16+SUM($K$16:K117))*E117</f>
        <v>55662.9549092529</v>
      </c>
      <c r="G117" s="329">
        <f t="shared" si="27"/>
        <v>1.58652642379821</v>
      </c>
      <c r="H117" s="332">
        <f>($L$16+SUM($K$16:K117))*G117</f>
        <v>47797.836854017</v>
      </c>
      <c r="I117" s="329">
        <f t="shared" si="28"/>
        <v>1.36132740448624</v>
      </c>
      <c r="J117" s="332">
        <f>($L$16+SUM($K$16:K117))*I117</f>
        <v>41013.1871795485</v>
      </c>
      <c r="K117" s="330">
        <v>0</v>
      </c>
      <c r="L117" s="338">
        <f t="shared" si="30"/>
        <v>23773.73</v>
      </c>
      <c r="M117" s="340">
        <f t="shared" si="31"/>
        <v>-0.00399600735770113</v>
      </c>
      <c r="N117" s="340">
        <f>O117/($L$16+SUM($K$16:K117))-1</f>
        <v>-0.214045377373051</v>
      </c>
      <c r="O117" s="341">
        <v>23678.73</v>
      </c>
      <c r="P117" s="88">
        <f t="shared" si="29"/>
        <v>0.36132740448624</v>
      </c>
      <c r="Q117" s="350"/>
      <c r="R117" s="340"/>
      <c r="S117" s="340"/>
      <c r="T117" s="348">
        <v>73</v>
      </c>
      <c r="U117" s="348">
        <v>7</v>
      </c>
    </row>
    <row r="118" spans="1:21">
      <c r="A118" s="118">
        <v>45737</v>
      </c>
      <c r="B118" s="328">
        <v>32</v>
      </c>
      <c r="C118" s="329">
        <f t="shared" si="25"/>
        <v>2.57508275568511</v>
      </c>
      <c r="D118" s="332">
        <f>($L$16+SUM($K$16:K118))*C118</f>
        <v>77580.4194594898</v>
      </c>
      <c r="E118" s="329">
        <f t="shared" si="26"/>
        <v>1.88454059210113</v>
      </c>
      <c r="F118" s="333">
        <f>($L$16+SUM($K$16:K118))*E118</f>
        <v>56776.214007438</v>
      </c>
      <c r="G118" s="329">
        <f t="shared" si="27"/>
        <v>1.61032432015519</v>
      </c>
      <c r="H118" s="332">
        <f>($L$16+SUM($K$16:K118))*G118</f>
        <v>48514.8044068275</v>
      </c>
      <c r="I118" s="329">
        <f t="shared" si="28"/>
        <v>1.3749406785311</v>
      </c>
      <c r="J118" s="332">
        <f>($L$16+SUM($K$16:K118))*I118</f>
        <v>41423.3190513439</v>
      </c>
      <c r="K118" s="330">
        <v>0</v>
      </c>
      <c r="L118" s="338">
        <f t="shared" si="30"/>
        <v>23678.73</v>
      </c>
      <c r="M118" s="340">
        <f t="shared" si="31"/>
        <v>-0.0142321822158536</v>
      </c>
      <c r="N118" s="340">
        <f>O118/($L$16+SUM($K$16:K118))-1</f>
        <v>-0.225231226775671</v>
      </c>
      <c r="O118" s="341">
        <v>23341.73</v>
      </c>
      <c r="P118" s="88">
        <f t="shared" si="29"/>
        <v>0.3749406785311</v>
      </c>
      <c r="Q118" s="350"/>
      <c r="R118" s="340"/>
      <c r="S118" s="340"/>
      <c r="T118" s="348">
        <v>56</v>
      </c>
      <c r="U118" s="348">
        <v>31</v>
      </c>
    </row>
    <row r="119" spans="1:21">
      <c r="A119" s="78">
        <v>45740</v>
      </c>
      <c r="B119" s="328">
        <v>33</v>
      </c>
      <c r="C119" s="329">
        <f t="shared" si="25"/>
        <v>2.65233523835567</v>
      </c>
      <c r="D119" s="332">
        <f>($L$16+SUM($K$16:K119))*C119</f>
        <v>79907.8320432747</v>
      </c>
      <c r="E119" s="329">
        <f t="shared" si="26"/>
        <v>1.92223140394315</v>
      </c>
      <c r="F119" s="333">
        <f>($L$16+SUM($K$16:K119))*E119</f>
        <v>57911.7382875867</v>
      </c>
      <c r="G119" s="329">
        <f t="shared" si="27"/>
        <v>1.63447918495751</v>
      </c>
      <c r="H119" s="332">
        <f>($L$16+SUM($K$16:K119))*G119</f>
        <v>49242.5264729296</v>
      </c>
      <c r="I119" s="329">
        <f t="shared" si="28"/>
        <v>1.38869008531641</v>
      </c>
      <c r="J119" s="332">
        <f>($L$16+SUM($K$16:K119))*I119</f>
        <v>41837.5522418573</v>
      </c>
      <c r="K119" s="330">
        <v>0</v>
      </c>
      <c r="L119" s="338">
        <f t="shared" si="30"/>
        <v>23341.73</v>
      </c>
      <c r="M119" s="340">
        <f t="shared" si="31"/>
        <v>-0.00351302152839571</v>
      </c>
      <c r="N119" s="340">
        <f>O119/($L$16+SUM($K$16:K119))-1</f>
        <v>-0.227953006155536</v>
      </c>
      <c r="O119" s="341">
        <v>23259.73</v>
      </c>
      <c r="P119" s="88">
        <f t="shared" si="29"/>
        <v>0.38869008531641</v>
      </c>
      <c r="Q119" s="347"/>
      <c r="R119" s="335"/>
      <c r="S119" s="335"/>
      <c r="T119" s="348">
        <v>54</v>
      </c>
      <c r="U119" s="348">
        <v>47</v>
      </c>
    </row>
    <row r="120" spans="1:21">
      <c r="A120" s="78">
        <v>45741</v>
      </c>
      <c r="B120" s="328">
        <v>34</v>
      </c>
      <c r="C120" s="329">
        <f t="shared" si="25"/>
        <v>2.73190529550634</v>
      </c>
      <c r="D120" s="332">
        <f>($L$16+SUM($K$16:K120))*C120</f>
        <v>82305.0670045729</v>
      </c>
      <c r="E120" s="329">
        <f t="shared" si="26"/>
        <v>1.96067603202202</v>
      </c>
      <c r="F120" s="333">
        <f>($L$16+SUM($K$16:K120))*E120</f>
        <v>59069.9730533386</v>
      </c>
      <c r="G120" s="329">
        <f t="shared" si="27"/>
        <v>1.65899637273188</v>
      </c>
      <c r="H120" s="332">
        <f>($L$16+SUM($K$16:K120))*G120</f>
        <v>49981.1643700238</v>
      </c>
      <c r="I120" s="329">
        <f t="shared" si="28"/>
        <v>1.40257698616957</v>
      </c>
      <c r="J120" s="332">
        <f>($L$16+SUM($K$16:K120))*I120</f>
        <v>42255.9277642758</v>
      </c>
      <c r="K120" s="330">
        <v>0</v>
      </c>
      <c r="L120" s="338">
        <f t="shared" si="30"/>
        <v>23259.73</v>
      </c>
      <c r="M120" s="340">
        <f t="shared" si="31"/>
        <v>-0.0798805489143683</v>
      </c>
      <c r="N120" s="340">
        <f>O120/($L$16+SUM($K$16:K120))-1</f>
        <v>-0.28962454381152</v>
      </c>
      <c r="O120" s="341">
        <v>21401.73</v>
      </c>
      <c r="P120" s="88">
        <f t="shared" si="29"/>
        <v>0.40257698616957</v>
      </c>
      <c r="Q120" s="347"/>
      <c r="R120" s="343"/>
      <c r="S120" s="343"/>
      <c r="T120" s="348">
        <v>57</v>
      </c>
      <c r="U120" s="348">
        <v>46</v>
      </c>
    </row>
    <row r="121" spans="1:21">
      <c r="A121" s="78">
        <v>45742</v>
      </c>
      <c r="B121" s="328">
        <v>35</v>
      </c>
      <c r="C121" s="329">
        <f t="shared" si="25"/>
        <v>2.81386245437153</v>
      </c>
      <c r="D121" s="332">
        <f>($L$16+SUM($K$16:K121))*C121</f>
        <v>84774.2190147101</v>
      </c>
      <c r="E121" s="329">
        <f t="shared" si="26"/>
        <v>1.99988955266246</v>
      </c>
      <c r="F121" s="333">
        <f>($L$16+SUM($K$16:K121))*E121</f>
        <v>60251.3725144054</v>
      </c>
      <c r="G121" s="329">
        <f t="shared" si="27"/>
        <v>1.68388131832286</v>
      </c>
      <c r="H121" s="332">
        <f>($L$16+SUM($K$16:K121))*G121</f>
        <v>50730.8818355742</v>
      </c>
      <c r="I121" s="329">
        <f t="shared" si="28"/>
        <v>1.41660275603127</v>
      </c>
      <c r="J121" s="332">
        <f>($L$16+SUM($K$16:K121))*I121</f>
        <v>42678.4870419187</v>
      </c>
      <c r="K121" s="330">
        <v>0</v>
      </c>
      <c r="L121" s="338">
        <f t="shared" si="30"/>
        <v>21401.73</v>
      </c>
      <c r="M121" s="340">
        <f t="shared" si="31"/>
        <v>-0.0189704290260647</v>
      </c>
      <c r="N121" s="340">
        <f>O121/($L$16+SUM($K$16:K121))-1</f>
        <v>-0.303100670985002</v>
      </c>
      <c r="O121" s="341">
        <v>20995.73</v>
      </c>
      <c r="P121" s="88">
        <f t="shared" si="29"/>
        <v>0.41660275603127</v>
      </c>
      <c r="Q121" s="347"/>
      <c r="R121" s="343"/>
      <c r="S121" s="343"/>
      <c r="T121" s="348">
        <v>90</v>
      </c>
      <c r="U121" s="348">
        <v>12</v>
      </c>
    </row>
    <row r="122" spans="1:21">
      <c r="A122" s="78">
        <v>45743</v>
      </c>
      <c r="B122" s="328">
        <v>36</v>
      </c>
      <c r="C122" s="329">
        <f t="shared" si="25"/>
        <v>2.89827832800267</v>
      </c>
      <c r="D122" s="332">
        <f>($L$16+SUM($K$16:K122))*C122</f>
        <v>87317.4455851512</v>
      </c>
      <c r="E122" s="329">
        <f t="shared" si="26"/>
        <v>2.03988734371571</v>
      </c>
      <c r="F122" s="333">
        <f>($L$16+SUM($K$16:K122))*E122</f>
        <v>61456.3999646935</v>
      </c>
      <c r="G122" s="329">
        <f t="shared" si="27"/>
        <v>1.7091395380977</v>
      </c>
      <c r="H122" s="332">
        <f>($L$16+SUM($K$16:K122))*G122</f>
        <v>51491.8450631077</v>
      </c>
      <c r="I122" s="329">
        <f t="shared" si="28"/>
        <v>1.43076878359158</v>
      </c>
      <c r="J122" s="332">
        <f>($L$16+SUM($K$16:K122))*I122</f>
        <v>43105.2719123378</v>
      </c>
      <c r="K122" s="330">
        <v>0</v>
      </c>
      <c r="L122" s="338">
        <f t="shared" si="30"/>
        <v>20995.73</v>
      </c>
      <c r="M122" s="340">
        <f t="shared" si="31"/>
        <v>-0.00966863262196647</v>
      </c>
      <c r="N122" s="340">
        <f>O122/($L$16+SUM($K$16:K122))-1</f>
        <v>-0.309838734571743</v>
      </c>
      <c r="O122" s="341">
        <v>20792.73</v>
      </c>
      <c r="P122" s="88">
        <f t="shared" si="29"/>
        <v>0.43076878359158</v>
      </c>
      <c r="Q122" s="347"/>
      <c r="R122" s="343"/>
      <c r="S122" s="343"/>
      <c r="T122" s="348">
        <v>55</v>
      </c>
      <c r="U122" s="348">
        <v>29</v>
      </c>
    </row>
    <row r="123" spans="1:21">
      <c r="A123" s="118">
        <v>45744</v>
      </c>
      <c r="B123" s="328">
        <v>37</v>
      </c>
      <c r="C123" s="329">
        <f t="shared" si="25"/>
        <v>2.98522667784275</v>
      </c>
      <c r="D123" s="332">
        <f>($L$16+SUM($K$16:K123))*C123</f>
        <v>89936.9689527058</v>
      </c>
      <c r="E123" s="329">
        <f t="shared" si="26"/>
        <v>2.08068509059002</v>
      </c>
      <c r="F123" s="333">
        <f>($L$16+SUM($K$16:K123))*E123</f>
        <v>62685.5279639872</v>
      </c>
      <c r="G123" s="329">
        <f t="shared" si="27"/>
        <v>1.73477663116916</v>
      </c>
      <c r="H123" s="332">
        <f>($L$16+SUM($K$16:K123))*G123</f>
        <v>52264.2227390542</v>
      </c>
      <c r="I123" s="329">
        <f t="shared" si="28"/>
        <v>1.4450764714275</v>
      </c>
      <c r="J123" s="332">
        <f>($L$16+SUM($K$16:K123))*I123</f>
        <v>43536.3246314613</v>
      </c>
      <c r="K123" s="330">
        <v>0</v>
      </c>
      <c r="L123" s="338">
        <f t="shared" si="30"/>
        <v>20792.73</v>
      </c>
      <c r="M123" s="340">
        <f t="shared" si="31"/>
        <v>-0.0359741121055292</v>
      </c>
      <c r="N123" s="340">
        <f>O123/($L$16+SUM($K$16:K123))-1</f>
        <v>-0.334666673305153</v>
      </c>
      <c r="O123" s="341">
        <v>20044.73</v>
      </c>
      <c r="P123" s="88">
        <f t="shared" si="29"/>
        <v>0.4450764714275</v>
      </c>
      <c r="Q123" s="347"/>
      <c r="R123" s="343"/>
      <c r="S123" s="343"/>
      <c r="T123" s="348">
        <v>35</v>
      </c>
      <c r="U123" s="348">
        <v>33</v>
      </c>
    </row>
    <row r="124" spans="1:21">
      <c r="A124" s="78">
        <v>45747</v>
      </c>
      <c r="B124" s="328">
        <v>38</v>
      </c>
      <c r="C124" s="329">
        <f t="shared" ref="C124:C136" si="32">POWER($C$87,B124)</f>
        <v>3.07478347817804</v>
      </c>
      <c r="D124" s="332">
        <f>($L$16+SUM($K$16:K124))*C124</f>
        <v>92635.0780212872</v>
      </c>
      <c r="E124" s="329">
        <f t="shared" ref="E124:E136" si="33">POWER($E$87,B124)</f>
        <v>2.12229879240182</v>
      </c>
      <c r="F124" s="333">
        <f>($L$16+SUM($K$16:K124))*E124</f>
        <v>63939.238523267</v>
      </c>
      <c r="G124" s="329">
        <f t="shared" ref="G124:G136" si="34">POWER($G$87,B124)</f>
        <v>1.7607982806367</v>
      </c>
      <c r="H124" s="332">
        <f>($L$16+SUM($K$16:K124))*G124</f>
        <v>53048.1860801401</v>
      </c>
      <c r="I124" s="329">
        <f t="shared" ref="I124:I136" si="35">POWER($I$87,B124)</f>
        <v>1.45952723614177</v>
      </c>
      <c r="J124" s="332">
        <f>($L$16+SUM($K$16:K124))*I124</f>
        <v>43971.6878777758</v>
      </c>
      <c r="K124" s="330">
        <v>0</v>
      </c>
      <c r="L124" s="338">
        <f t="shared" si="30"/>
        <v>20044.73</v>
      </c>
      <c r="M124" s="340">
        <f t="shared" si="31"/>
        <v>-0.0104765691530891</v>
      </c>
      <c r="N124" s="340">
        <f>O124/($L$16+SUM($K$16:K124))-1</f>
        <v>-0.341637083912126</v>
      </c>
      <c r="O124" s="341">
        <v>19834.73</v>
      </c>
      <c r="P124" s="88">
        <f t="shared" si="29"/>
        <v>0.45952723614177</v>
      </c>
      <c r="Q124" s="347"/>
      <c r="R124" s="343"/>
      <c r="S124" s="343"/>
      <c r="T124" s="348">
        <v>41</v>
      </c>
      <c r="U124" s="348">
        <v>43</v>
      </c>
    </row>
    <row r="125" spans="1:21">
      <c r="A125" s="78">
        <v>45748</v>
      </c>
      <c r="B125" s="328">
        <v>39</v>
      </c>
      <c r="C125" s="329">
        <f t="shared" si="32"/>
        <v>3.16702698252338</v>
      </c>
      <c r="D125" s="332">
        <f>($L$16+SUM($K$16:K125))*C125</f>
        <v>95414.1303619257</v>
      </c>
      <c r="E125" s="329">
        <f t="shared" si="33"/>
        <v>2.16474476824986</v>
      </c>
      <c r="F125" s="333">
        <f>($L$16+SUM($K$16:K125))*E125</f>
        <v>65218.0232937324</v>
      </c>
      <c r="G125" s="329">
        <f t="shared" si="34"/>
        <v>1.78721025484625</v>
      </c>
      <c r="H125" s="332">
        <f>($L$16+SUM($K$16:K125))*G125</f>
        <v>53843.9088713422</v>
      </c>
      <c r="I125" s="329">
        <f t="shared" si="35"/>
        <v>1.47412250850319</v>
      </c>
      <c r="J125" s="332">
        <f>($L$16+SUM($K$16:K125))*I125</f>
        <v>44411.4047565536</v>
      </c>
      <c r="K125" s="330">
        <v>0</v>
      </c>
      <c r="L125" s="330"/>
      <c r="M125" s="88"/>
      <c r="N125" s="88"/>
      <c r="O125" s="334"/>
      <c r="P125" s="88">
        <f t="shared" si="29"/>
        <v>0.47412250850319</v>
      </c>
      <c r="Q125" s="347"/>
      <c r="R125" s="343"/>
      <c r="S125" s="343"/>
      <c r="T125" s="348">
        <v>65</v>
      </c>
      <c r="U125" s="348">
        <v>19</v>
      </c>
    </row>
    <row r="126" spans="1:21">
      <c r="A126" s="78">
        <v>45749</v>
      </c>
      <c r="B126" s="328">
        <v>40</v>
      </c>
      <c r="C126" s="329">
        <f t="shared" si="32"/>
        <v>3.26203779199908</v>
      </c>
      <c r="D126" s="332">
        <f>($L$16+SUM($K$16:K126))*C126</f>
        <v>98276.5542727835</v>
      </c>
      <c r="E126" s="329">
        <f t="shared" si="33"/>
        <v>2.20803966361485</v>
      </c>
      <c r="F126" s="333">
        <f>($L$16+SUM($K$16:K126))*E126</f>
        <v>66522.3837596068</v>
      </c>
      <c r="G126" s="329">
        <f t="shared" si="34"/>
        <v>1.81401840866894</v>
      </c>
      <c r="H126" s="332">
        <f>($L$16+SUM($K$16:K126))*G126</f>
        <v>54651.5675044122</v>
      </c>
      <c r="I126" s="329">
        <f t="shared" si="35"/>
        <v>1.48886373358822</v>
      </c>
      <c r="J126" s="332">
        <f>($L$16+SUM($K$16:K126))*I126</f>
        <v>44855.5188041191</v>
      </c>
      <c r="K126" s="330">
        <v>0</v>
      </c>
      <c r="L126" s="330"/>
      <c r="M126" s="88"/>
      <c r="N126" s="88"/>
      <c r="O126" s="334"/>
      <c r="P126" s="88">
        <f t="shared" si="29"/>
        <v>0.48886373358822</v>
      </c>
      <c r="Q126" s="347"/>
      <c r="R126" s="343"/>
      <c r="S126" s="343"/>
      <c r="T126" s="348">
        <v>48</v>
      </c>
      <c r="U126" s="348">
        <v>19</v>
      </c>
    </row>
    <row r="127" spans="1:21">
      <c r="A127" s="118">
        <v>45750</v>
      </c>
      <c r="B127" s="328">
        <v>41</v>
      </c>
      <c r="C127" s="329">
        <f t="shared" si="32"/>
        <v>3.35989892575905</v>
      </c>
      <c r="D127" s="332">
        <f>($L$16+SUM($K$16:K127))*C127</f>
        <v>101224.850900967</v>
      </c>
      <c r="E127" s="329">
        <f t="shared" si="33"/>
        <v>2.25220045688715</v>
      </c>
      <c r="F127" s="333">
        <f>($L$16+SUM($K$16:K127))*E127</f>
        <v>67852.8314347991</v>
      </c>
      <c r="G127" s="329">
        <f t="shared" si="34"/>
        <v>1.84122868479898</v>
      </c>
      <c r="H127" s="332">
        <f>($L$16+SUM($K$16:K127))*G127</f>
        <v>55471.3410169785</v>
      </c>
      <c r="I127" s="329">
        <f t="shared" si="35"/>
        <v>1.5037523709241</v>
      </c>
      <c r="J127" s="332">
        <f>($L$16+SUM($K$16:K127))*I127</f>
        <v>45304.0739921602</v>
      </c>
      <c r="K127" s="330">
        <v>0</v>
      </c>
      <c r="L127" s="330"/>
      <c r="M127" s="88"/>
      <c r="N127" s="88"/>
      <c r="O127" s="334"/>
      <c r="P127" s="88">
        <f t="shared" si="29"/>
        <v>0.5037523709241</v>
      </c>
      <c r="Q127" s="347"/>
      <c r="R127" s="343"/>
      <c r="S127" s="343"/>
      <c r="T127" s="348">
        <v>59</v>
      </c>
      <c r="U127" s="348">
        <v>30</v>
      </c>
    </row>
    <row r="128" spans="1:21">
      <c r="A128" s="78">
        <v>45754</v>
      </c>
      <c r="B128" s="328">
        <v>42</v>
      </c>
      <c r="C128" s="329">
        <f t="shared" si="32"/>
        <v>3.46069589353182</v>
      </c>
      <c r="D128" s="332">
        <f>($L$16+SUM($K$16:K128))*C128</f>
        <v>104261.596427996</v>
      </c>
      <c r="E128" s="329">
        <f t="shared" si="33"/>
        <v>2.29724446602489</v>
      </c>
      <c r="F128" s="333">
        <f>($L$16+SUM($K$16:K128))*E128</f>
        <v>69209.888063495</v>
      </c>
      <c r="G128" s="329">
        <f t="shared" si="34"/>
        <v>1.86884711507096</v>
      </c>
      <c r="H128" s="332">
        <f>($L$16+SUM($K$16:K128))*G128</f>
        <v>56303.4111322331</v>
      </c>
      <c r="I128" s="329">
        <f t="shared" si="35"/>
        <v>1.51878989463334</v>
      </c>
      <c r="J128" s="332">
        <f>($L$16+SUM($K$16:K128))*I128</f>
        <v>45757.1147320818</v>
      </c>
      <c r="K128" s="330">
        <v>0</v>
      </c>
      <c r="L128" s="330"/>
      <c r="M128" s="88"/>
      <c r="N128" s="88"/>
      <c r="O128" s="334"/>
      <c r="P128" s="88">
        <f t="shared" si="29"/>
        <v>0.51878989463334</v>
      </c>
      <c r="Q128" s="347"/>
      <c r="R128" s="343"/>
      <c r="S128" s="343"/>
      <c r="T128" s="348">
        <v>25</v>
      </c>
      <c r="U128" s="348">
        <v>2902</v>
      </c>
    </row>
    <row r="129" spans="1:21">
      <c r="A129" s="78">
        <v>45755</v>
      </c>
      <c r="B129" s="328">
        <v>43</v>
      </c>
      <c r="C129" s="329">
        <f t="shared" si="32"/>
        <v>3.56451677033778</v>
      </c>
      <c r="D129" s="332">
        <f>($L$16+SUM($K$16:K129))*C129</f>
        <v>107389.444320836</v>
      </c>
      <c r="E129" s="329">
        <f t="shared" si="33"/>
        <v>2.34318935534539</v>
      </c>
      <c r="F129" s="333">
        <f>($L$16+SUM($K$16:K129))*E129</f>
        <v>70594.0858247649</v>
      </c>
      <c r="G129" s="329">
        <f t="shared" si="34"/>
        <v>1.89687982179703</v>
      </c>
      <c r="H129" s="332">
        <f>($L$16+SUM($K$16:K129))*G129</f>
        <v>57147.9622992167</v>
      </c>
      <c r="I129" s="329">
        <f t="shared" si="35"/>
        <v>1.53397779357968</v>
      </c>
      <c r="J129" s="332">
        <f>($L$16+SUM($K$16:K129))*I129</f>
        <v>46214.6858794028</v>
      </c>
      <c r="K129" s="330">
        <v>0</v>
      </c>
      <c r="L129" s="330"/>
      <c r="M129" s="88"/>
      <c r="N129" s="88"/>
      <c r="O129" s="334"/>
      <c r="P129" s="88">
        <f t="shared" si="29"/>
        <v>0.53397779357968</v>
      </c>
      <c r="Q129" s="347"/>
      <c r="R129" s="343"/>
      <c r="S129" s="343"/>
      <c r="T129" s="348">
        <v>127</v>
      </c>
      <c r="U129" s="348">
        <v>168</v>
      </c>
    </row>
    <row r="130" spans="1:21">
      <c r="A130" s="78">
        <v>45756</v>
      </c>
      <c r="B130" s="328">
        <v>44</v>
      </c>
      <c r="C130" s="329">
        <f t="shared" si="32"/>
        <v>3.67145227344791</v>
      </c>
      <c r="D130" s="332">
        <f>($L$16+SUM($K$16:K130))*C130</f>
        <v>110611.127650461</v>
      </c>
      <c r="E130" s="329">
        <f t="shared" si="33"/>
        <v>2.3900531424523</v>
      </c>
      <c r="F130" s="333">
        <f>($L$16+SUM($K$16:K130))*E130</f>
        <v>72005.9675412603</v>
      </c>
      <c r="G130" s="329">
        <f t="shared" si="34"/>
        <v>1.92533301912398</v>
      </c>
      <c r="H130" s="332">
        <f>($L$16+SUM($K$16:K130))*G130</f>
        <v>58005.1817337048</v>
      </c>
      <c r="I130" s="329">
        <f t="shared" si="35"/>
        <v>1.54931757151547</v>
      </c>
      <c r="J130" s="332">
        <f>($L$16+SUM($K$16:K130))*I130</f>
        <v>46676.8327381966</v>
      </c>
      <c r="K130" s="330">
        <v>0</v>
      </c>
      <c r="L130" s="330"/>
      <c r="M130" s="88"/>
      <c r="N130" s="88"/>
      <c r="O130" s="334"/>
      <c r="P130" s="88">
        <f t="shared" si="29"/>
        <v>0.54931757151547</v>
      </c>
      <c r="Q130" s="347"/>
      <c r="R130" s="343"/>
      <c r="S130" s="343"/>
      <c r="T130" s="348">
        <v>128</v>
      </c>
      <c r="U130" s="348">
        <v>13</v>
      </c>
    </row>
    <row r="131" spans="1:21">
      <c r="A131" s="78">
        <v>45757</v>
      </c>
      <c r="B131" s="328">
        <v>45</v>
      </c>
      <c r="C131" s="329">
        <f t="shared" si="32"/>
        <v>3.78159584165135</v>
      </c>
      <c r="D131" s="332">
        <f>($L$16+SUM($K$16:K131))*C131</f>
        <v>113929.461479975</v>
      </c>
      <c r="E131" s="329">
        <f t="shared" si="33"/>
        <v>2.43785420530135</v>
      </c>
      <c r="F131" s="333">
        <f>($L$16+SUM($K$16:K131))*E131</f>
        <v>73446.0868920856</v>
      </c>
      <c r="G131" s="329">
        <f t="shared" si="34"/>
        <v>1.95421301441084</v>
      </c>
      <c r="H131" s="332">
        <f>($L$16+SUM($K$16:K131))*G131</f>
        <v>58875.2594597104</v>
      </c>
      <c r="I131" s="329">
        <f t="shared" si="35"/>
        <v>1.56481074723063</v>
      </c>
      <c r="J131" s="332">
        <f>($L$16+SUM($K$16:K131))*I131</f>
        <v>47143.6010655787</v>
      </c>
      <c r="K131" s="330">
        <v>0</v>
      </c>
      <c r="L131" s="330"/>
      <c r="M131" s="88"/>
      <c r="N131" s="88"/>
      <c r="O131" s="334"/>
      <c r="P131" s="88">
        <f t="shared" si="29"/>
        <v>0.56481074723063</v>
      </c>
      <c r="Q131" s="347"/>
      <c r="R131" s="343"/>
      <c r="S131" s="343"/>
      <c r="T131" s="348">
        <v>174</v>
      </c>
      <c r="U131" s="348">
        <v>2</v>
      </c>
    </row>
    <row r="132" spans="1:21">
      <c r="A132" s="118">
        <v>45758</v>
      </c>
      <c r="B132" s="328">
        <v>46</v>
      </c>
      <c r="C132" s="329">
        <f t="shared" si="32"/>
        <v>3.89504371690089</v>
      </c>
      <c r="D132" s="332">
        <f>($L$16+SUM($K$16:K132))*C132</f>
        <v>117347.345324374</v>
      </c>
      <c r="E132" s="329">
        <f t="shared" si="33"/>
        <v>2.48661128940737</v>
      </c>
      <c r="F132" s="333">
        <f>($L$16+SUM($K$16:K132))*E132</f>
        <v>74915.0086299271</v>
      </c>
      <c r="G132" s="329">
        <f t="shared" si="34"/>
        <v>1.983526209627</v>
      </c>
      <c r="H132" s="332">
        <f>($L$16+SUM($K$16:K132))*G132</f>
        <v>59758.388351606</v>
      </c>
      <c r="I132" s="329">
        <f t="shared" si="35"/>
        <v>1.58045885470294</v>
      </c>
      <c r="J132" s="332">
        <f>($L$16+SUM($K$16:K132))*I132</f>
        <v>47615.0370762346</v>
      </c>
      <c r="K132" s="330">
        <v>0</v>
      </c>
      <c r="L132" s="330"/>
      <c r="M132" s="88"/>
      <c r="N132" s="88"/>
      <c r="O132" s="334"/>
      <c r="P132" s="88">
        <f t="shared" si="29"/>
        <v>0.58045885470294</v>
      </c>
      <c r="Q132" s="347"/>
      <c r="R132" s="343"/>
      <c r="S132" s="343"/>
      <c r="T132" s="348">
        <v>104</v>
      </c>
      <c r="U132" s="348">
        <v>11</v>
      </c>
    </row>
    <row r="133" spans="1:21">
      <c r="A133" s="78">
        <v>45761</v>
      </c>
      <c r="B133" s="328">
        <v>47</v>
      </c>
      <c r="C133" s="329">
        <f t="shared" si="32"/>
        <v>4.01189502840791</v>
      </c>
      <c r="D133" s="332">
        <f>($L$16+SUM($K$16:K133))*C133</f>
        <v>120867.765684105</v>
      </c>
      <c r="E133" s="329">
        <f t="shared" si="33"/>
        <v>2.53634351519552</v>
      </c>
      <c r="F133" s="333">
        <f>($L$16+SUM($K$16:K133))*E133</f>
        <v>76413.3088025257</v>
      </c>
      <c r="G133" s="329">
        <f t="shared" si="34"/>
        <v>2.01327910277141</v>
      </c>
      <c r="H133" s="332">
        <f>($L$16+SUM($K$16:K133))*G133</f>
        <v>60654.7641768802</v>
      </c>
      <c r="I133" s="329">
        <f t="shared" si="35"/>
        <v>1.59626344324997</v>
      </c>
      <c r="J133" s="332">
        <f>($L$16+SUM($K$16:K133))*I133</f>
        <v>48091.187446997</v>
      </c>
      <c r="K133" s="330">
        <v>0</v>
      </c>
      <c r="L133" s="330"/>
      <c r="M133" s="88"/>
      <c r="N133" s="88"/>
      <c r="O133" s="334"/>
      <c r="P133" s="88">
        <f t="shared" si="29"/>
        <v>0.59626344324997</v>
      </c>
      <c r="Q133" s="347"/>
      <c r="R133" s="343"/>
      <c r="S133" s="343"/>
      <c r="T133" s="348">
        <v>129</v>
      </c>
      <c r="U133" s="348">
        <v>4</v>
      </c>
    </row>
    <row r="134" spans="1:21">
      <c r="A134" s="78">
        <v>45762</v>
      </c>
      <c r="B134" s="328">
        <v>48</v>
      </c>
      <c r="C134" s="329">
        <f t="shared" si="32"/>
        <v>4.13225187926015</v>
      </c>
      <c r="D134" s="332">
        <f>($L$16+SUM($K$16:K134))*C134</f>
        <v>124493.798654628</v>
      </c>
      <c r="E134" s="329">
        <f t="shared" si="33"/>
        <v>2.58707038549943</v>
      </c>
      <c r="F134" s="333">
        <f>($L$16+SUM($K$16:K134))*E134</f>
        <v>77941.5749785762</v>
      </c>
      <c r="G134" s="329">
        <f t="shared" si="34"/>
        <v>2.04347828931298</v>
      </c>
      <c r="H134" s="332">
        <f>($L$16+SUM($K$16:K134))*G134</f>
        <v>61564.5856395334</v>
      </c>
      <c r="I134" s="329">
        <f t="shared" si="35"/>
        <v>1.61222607768247</v>
      </c>
      <c r="J134" s="332">
        <f>($L$16+SUM($K$16:K134))*I134</f>
        <v>48572.099321467</v>
      </c>
      <c r="K134" s="330">
        <v>0</v>
      </c>
      <c r="L134" s="330"/>
      <c r="M134" s="88"/>
      <c r="N134" s="88"/>
      <c r="O134" s="334"/>
      <c r="P134" s="88">
        <f t="shared" si="29"/>
        <v>0.61222607768247</v>
      </c>
      <c r="Q134" s="347"/>
      <c r="R134" s="343"/>
      <c r="S134" s="343"/>
      <c r="T134" s="348">
        <v>81</v>
      </c>
      <c r="U134" s="348">
        <v>11</v>
      </c>
    </row>
    <row r="135" spans="1:21">
      <c r="A135" s="78">
        <v>45763</v>
      </c>
      <c r="B135" s="328">
        <v>49</v>
      </c>
      <c r="C135" s="329">
        <f t="shared" si="32"/>
        <v>4.25621943563796</v>
      </c>
      <c r="D135" s="332">
        <f>($L$16+SUM($K$16:K135))*C135</f>
        <v>128228.612614267</v>
      </c>
      <c r="E135" s="329">
        <f t="shared" si="33"/>
        <v>2.63881179320942</v>
      </c>
      <c r="F135" s="333">
        <f>($L$16+SUM($K$16:K135))*E135</f>
        <v>79500.4064781478</v>
      </c>
      <c r="G135" s="329">
        <f t="shared" si="34"/>
        <v>2.07413046365267</v>
      </c>
      <c r="H135" s="332">
        <f>($L$16+SUM($K$16:K135))*G135</f>
        <v>62488.0544241263</v>
      </c>
      <c r="I135" s="329">
        <f t="shared" si="35"/>
        <v>1.62834833845929</v>
      </c>
      <c r="J135" s="332">
        <f>($L$16+SUM($K$16:K135))*I135</f>
        <v>49057.8203146815</v>
      </c>
      <c r="K135" s="330">
        <v>0</v>
      </c>
      <c r="L135" s="330"/>
      <c r="M135" s="88"/>
      <c r="N135" s="88"/>
      <c r="O135" s="334"/>
      <c r="P135" s="88">
        <f t="shared" si="29"/>
        <v>0.62834833845929</v>
      </c>
      <c r="Q135" s="347"/>
      <c r="R135" s="343"/>
      <c r="S135" s="343"/>
      <c r="T135" s="348">
        <v>54</v>
      </c>
      <c r="U135" s="348">
        <v>14</v>
      </c>
    </row>
    <row r="136" spans="1:21">
      <c r="A136" s="78">
        <v>45764</v>
      </c>
      <c r="B136" s="328">
        <v>50</v>
      </c>
      <c r="C136" s="329">
        <f t="shared" si="32"/>
        <v>4.3839060187071</v>
      </c>
      <c r="D136" s="332">
        <f>($L$16+SUM($K$16:K136))*C136</f>
        <v>132075.470992695</v>
      </c>
      <c r="E136" s="329">
        <f t="shared" si="33"/>
        <v>2.69158802907361</v>
      </c>
      <c r="F136" s="333">
        <f>($L$16+SUM($K$16:K136))*E136</f>
        <v>81090.4146077108</v>
      </c>
      <c r="G136" s="329">
        <f t="shared" si="34"/>
        <v>2.10524242060746</v>
      </c>
      <c r="H136" s="332">
        <f>($L$16+SUM($K$16:K136))*G136</f>
        <v>63425.3752404882</v>
      </c>
      <c r="I136" s="329">
        <f t="shared" si="35"/>
        <v>1.64463182184388</v>
      </c>
      <c r="J136" s="332">
        <f>($L$16+SUM($K$16:K136))*I136</f>
        <v>49548.3985178282</v>
      </c>
      <c r="K136" s="330">
        <v>0</v>
      </c>
      <c r="L136" s="330"/>
      <c r="M136" s="88"/>
      <c r="N136" s="88"/>
      <c r="O136" s="334"/>
      <c r="P136" s="88">
        <f t="shared" ref="P136:P167" si="36">I136-1</f>
        <v>0.64463182184388</v>
      </c>
      <c r="Q136" s="347"/>
      <c r="R136" s="343"/>
      <c r="S136" s="343"/>
      <c r="T136" s="348">
        <v>99</v>
      </c>
      <c r="U136" s="348">
        <v>12</v>
      </c>
    </row>
    <row r="137" spans="1:21">
      <c r="A137" s="118">
        <v>45765</v>
      </c>
      <c r="B137" s="328">
        <v>51</v>
      </c>
      <c r="C137" s="329">
        <f t="shared" ref="C137:C147" si="37">POWER($C$87,B137)</f>
        <v>4.51542319926831</v>
      </c>
      <c r="D137" s="332">
        <f>($L$16+SUM($K$16:K137))*C137</f>
        <v>136037.735122476</v>
      </c>
      <c r="E137" s="329">
        <f t="shared" ref="E137:E147" si="38">POWER($E$87,B137)</f>
        <v>2.74541978965508</v>
      </c>
      <c r="F137" s="333">
        <f>($L$16+SUM($K$16:K137))*E137</f>
        <v>82712.222899865</v>
      </c>
      <c r="G137" s="329">
        <f t="shared" ref="G137:G147" si="39">POWER($G$87,B137)</f>
        <v>2.13682105691658</v>
      </c>
      <c r="H137" s="332">
        <f>($L$16+SUM($K$16:K137))*G137</f>
        <v>64376.7558690957</v>
      </c>
      <c r="I137" s="329">
        <f t="shared" ref="I137:I147" si="40">POWER($I$87,B137)</f>
        <v>1.66107814006232</v>
      </c>
      <c r="J137" s="332">
        <f>($L$16+SUM($K$16:K137))*I137</f>
        <v>50043.8825030065</v>
      </c>
      <c r="K137" s="330">
        <v>0</v>
      </c>
      <c r="L137" s="330"/>
      <c r="M137" s="88"/>
      <c r="N137" s="88"/>
      <c r="O137" s="334"/>
      <c r="P137" s="88">
        <f t="shared" si="36"/>
        <v>0.66107814006232</v>
      </c>
      <c r="Q137" s="347"/>
      <c r="R137" s="343"/>
      <c r="S137" s="343"/>
      <c r="T137" s="348">
        <v>67</v>
      </c>
      <c r="U137" s="348">
        <v>20</v>
      </c>
    </row>
    <row r="138" spans="1:21">
      <c r="A138" s="78">
        <v>45768</v>
      </c>
      <c r="B138" s="328">
        <v>52</v>
      </c>
      <c r="C138" s="329">
        <f t="shared" si="37"/>
        <v>4.65088589524636</v>
      </c>
      <c r="D138" s="332">
        <f>($L$16+SUM($K$16:K138))*C138</f>
        <v>140118.86717615</v>
      </c>
      <c r="E138" s="329">
        <f t="shared" si="38"/>
        <v>2.80032818544818</v>
      </c>
      <c r="F138" s="333">
        <f>($L$16+SUM($K$16:K138))*E138</f>
        <v>84366.4673578622</v>
      </c>
      <c r="G138" s="329">
        <f t="shared" si="39"/>
        <v>2.16887337277032</v>
      </c>
      <c r="H138" s="332">
        <f>($L$16+SUM($K$16:K138))*G138</f>
        <v>65342.4072071319</v>
      </c>
      <c r="I138" s="329">
        <f t="shared" si="40"/>
        <v>1.67768892146294</v>
      </c>
      <c r="J138" s="332">
        <f>($L$16+SUM($K$16:K138))*I138</f>
        <v>50544.3213280365</v>
      </c>
      <c r="K138" s="330">
        <v>0</v>
      </c>
      <c r="L138" s="330"/>
      <c r="M138" s="88"/>
      <c r="N138" s="88"/>
      <c r="O138" s="334"/>
      <c r="P138" s="88">
        <f t="shared" si="36"/>
        <v>0.67768892146294</v>
      </c>
      <c r="Q138" s="347"/>
      <c r="R138" s="343"/>
      <c r="S138" s="343"/>
      <c r="T138" s="348">
        <v>114</v>
      </c>
      <c r="U138" s="348">
        <v>23</v>
      </c>
    </row>
    <row r="139" spans="1:21">
      <c r="A139" s="78">
        <v>45769</v>
      </c>
      <c r="B139" s="328">
        <v>53</v>
      </c>
      <c r="C139" s="329">
        <f t="shared" si="37"/>
        <v>4.79041247210375</v>
      </c>
      <c r="D139" s="332">
        <f>($L$16+SUM($K$16:K139))*C139</f>
        <v>144322.433191435</v>
      </c>
      <c r="E139" s="329">
        <f t="shared" si="38"/>
        <v>2.85633474915714</v>
      </c>
      <c r="F139" s="333">
        <f>($L$16+SUM($K$16:K139))*E139</f>
        <v>86053.7967050194</v>
      </c>
      <c r="G139" s="329">
        <f t="shared" si="39"/>
        <v>2.20140647336188</v>
      </c>
      <c r="H139" s="332">
        <f>($L$16+SUM($K$16:K139))*G139</f>
        <v>66322.543315239</v>
      </c>
      <c r="I139" s="329">
        <f t="shared" si="40"/>
        <v>1.69446581067757</v>
      </c>
      <c r="J139" s="332">
        <f>($L$16+SUM($K$16:K139))*I139</f>
        <v>51049.7645413169</v>
      </c>
      <c r="K139" s="330">
        <v>0</v>
      </c>
      <c r="L139" s="330"/>
      <c r="M139" s="88"/>
      <c r="N139" s="88"/>
      <c r="O139" s="334"/>
      <c r="P139" s="88">
        <f t="shared" si="36"/>
        <v>0.69446581067757</v>
      </c>
      <c r="Q139" s="347"/>
      <c r="R139" s="343"/>
      <c r="S139" s="343"/>
      <c r="T139" s="348">
        <v>93</v>
      </c>
      <c r="U139" s="348">
        <v>24</v>
      </c>
    </row>
    <row r="140" spans="1:21">
      <c r="A140" s="78">
        <v>45770</v>
      </c>
      <c r="B140" s="328">
        <v>54</v>
      </c>
      <c r="C140" s="329">
        <f t="shared" si="37"/>
        <v>4.93412484626686</v>
      </c>
      <c r="D140" s="332">
        <f>($L$16+SUM($K$16:K140))*C140</f>
        <v>148652.106187178</v>
      </c>
      <c r="E140" s="329">
        <f t="shared" si="38"/>
        <v>2.91346144414029</v>
      </c>
      <c r="F140" s="333">
        <f>($L$16+SUM($K$16:K140))*E140</f>
        <v>87774.87263912</v>
      </c>
      <c r="G140" s="329">
        <f t="shared" si="39"/>
        <v>2.23442757046231</v>
      </c>
      <c r="H140" s="332">
        <f>($L$16+SUM($K$16:K140))*G140</f>
        <v>67317.3814649677</v>
      </c>
      <c r="I140" s="329">
        <f t="shared" si="40"/>
        <v>1.71141046878435</v>
      </c>
      <c r="J140" s="332">
        <f>($L$16+SUM($K$16:K140))*I140</f>
        <v>51560.2621867302</v>
      </c>
      <c r="K140" s="330">
        <v>0</v>
      </c>
      <c r="L140" s="330"/>
      <c r="M140" s="88"/>
      <c r="N140" s="88"/>
      <c r="O140" s="334"/>
      <c r="P140" s="88">
        <f t="shared" si="36"/>
        <v>0.71141046878435</v>
      </c>
      <c r="Q140" s="347"/>
      <c r="R140" s="343"/>
      <c r="S140" s="343"/>
      <c r="T140" s="348">
        <v>72</v>
      </c>
      <c r="U140" s="348">
        <v>34</v>
      </c>
    </row>
    <row r="141" spans="1:21">
      <c r="A141" s="78">
        <v>45771</v>
      </c>
      <c r="B141" s="328">
        <v>55</v>
      </c>
      <c r="C141" s="329">
        <f t="shared" si="37"/>
        <v>5.08214859165487</v>
      </c>
      <c r="D141" s="332">
        <f>($L$16+SUM($K$16:K141))*C141</f>
        <v>153111.669372793</v>
      </c>
      <c r="E141" s="329">
        <f t="shared" si="38"/>
        <v>2.97173067302309</v>
      </c>
      <c r="F141" s="333">
        <f>($L$16+SUM($K$16:K141))*E141</f>
        <v>89530.3700919022</v>
      </c>
      <c r="G141" s="329">
        <f t="shared" si="39"/>
        <v>2.26794398401924</v>
      </c>
      <c r="H141" s="332">
        <f>($L$16+SUM($K$16:K141))*G141</f>
        <v>68327.142186942</v>
      </c>
      <c r="I141" s="329">
        <f t="shared" si="40"/>
        <v>1.72852457347219</v>
      </c>
      <c r="J141" s="332">
        <f>($L$16+SUM($K$16:K141))*I141</f>
        <v>52075.8648085974</v>
      </c>
      <c r="K141" s="330">
        <v>0</v>
      </c>
      <c r="L141" s="330"/>
      <c r="M141" s="88"/>
      <c r="N141" s="88"/>
      <c r="O141" s="334"/>
      <c r="P141" s="88">
        <f t="shared" si="36"/>
        <v>0.72852457347219</v>
      </c>
      <c r="Q141" s="347"/>
      <c r="R141" s="343"/>
      <c r="S141" s="343"/>
      <c r="T141" s="348">
        <v>64</v>
      </c>
      <c r="U141" s="348">
        <v>35</v>
      </c>
    </row>
    <row r="142" spans="1:21">
      <c r="A142" s="118">
        <v>45772</v>
      </c>
      <c r="B142" s="328">
        <v>56</v>
      </c>
      <c r="C142" s="329">
        <f t="shared" si="37"/>
        <v>5.23461304940451</v>
      </c>
      <c r="D142" s="332">
        <f>($L$16+SUM($K$16:K142))*C142</f>
        <v>157705.019453977</v>
      </c>
      <c r="E142" s="329">
        <f t="shared" si="38"/>
        <v>3.03116528648356</v>
      </c>
      <c r="F142" s="333">
        <f>($L$16+SUM($K$16:K142))*E142</f>
        <v>91320.9774937405</v>
      </c>
      <c r="G142" s="329">
        <f t="shared" si="39"/>
        <v>2.30196314377953</v>
      </c>
      <c r="H142" s="332">
        <f>($L$16+SUM($K$16:K142))*G142</f>
        <v>69352.0493197462</v>
      </c>
      <c r="I142" s="329">
        <f t="shared" si="40"/>
        <v>1.74580981920692</v>
      </c>
      <c r="J142" s="332">
        <f>($L$16+SUM($K$16:K142))*I142</f>
        <v>52596.6234566836</v>
      </c>
      <c r="K142" s="330">
        <v>0</v>
      </c>
      <c r="L142" s="330"/>
      <c r="M142" s="88"/>
      <c r="N142" s="88"/>
      <c r="O142" s="334"/>
      <c r="P142" s="88">
        <f t="shared" si="36"/>
        <v>0.74580981920692</v>
      </c>
      <c r="Q142" s="347"/>
      <c r="R142" s="343"/>
      <c r="S142" s="343"/>
      <c r="T142" s="348">
        <v>76</v>
      </c>
      <c r="U142" s="348">
        <v>34</v>
      </c>
    </row>
    <row r="143" spans="1:21">
      <c r="A143" s="78">
        <v>45775</v>
      </c>
      <c r="B143" s="328">
        <v>57</v>
      </c>
      <c r="C143" s="329">
        <f t="shared" si="37"/>
        <v>5.39165144088665</v>
      </c>
      <c r="D143" s="332">
        <f>($L$16+SUM($K$16:K143))*C143</f>
        <v>162436.170037596</v>
      </c>
      <c r="E143" s="329">
        <f t="shared" si="38"/>
        <v>3.09178859221323</v>
      </c>
      <c r="F143" s="333">
        <f>($L$16+SUM($K$16:K143))*E143</f>
        <v>93147.3970436153</v>
      </c>
      <c r="G143" s="329">
        <f t="shared" si="39"/>
        <v>2.33649259093622</v>
      </c>
      <c r="H143" s="332">
        <f>($L$16+SUM($K$16:K143))*G143</f>
        <v>70392.3300595423</v>
      </c>
      <c r="I143" s="329">
        <f t="shared" si="40"/>
        <v>1.76326791739898</v>
      </c>
      <c r="J143" s="332">
        <f>($L$16+SUM($K$16:K143))*I143</f>
        <v>53122.5896912502</v>
      </c>
      <c r="K143" s="330">
        <v>0</v>
      </c>
      <c r="L143" s="330"/>
      <c r="M143" s="88"/>
      <c r="N143" s="88"/>
      <c r="O143" s="334"/>
      <c r="P143" s="88">
        <f t="shared" si="36"/>
        <v>0.76326791739898</v>
      </c>
      <c r="Q143" s="347"/>
      <c r="R143" s="343"/>
      <c r="S143" s="343"/>
      <c r="T143" s="364"/>
      <c r="U143" s="364"/>
    </row>
    <row r="144" spans="1:21">
      <c r="A144" s="78">
        <v>45776</v>
      </c>
      <c r="B144" s="328">
        <v>58</v>
      </c>
      <c r="C144" s="329">
        <f t="shared" si="37"/>
        <v>5.55340098411325</v>
      </c>
      <c r="D144" s="332">
        <f>($L$16+SUM($K$16:K144))*C144</f>
        <v>167309.255138724</v>
      </c>
      <c r="E144" s="329">
        <f t="shared" si="38"/>
        <v>3.15362436405749</v>
      </c>
      <c r="F144" s="333">
        <f>($L$16+SUM($K$16:K144))*E144</f>
        <v>95010.3449844874</v>
      </c>
      <c r="G144" s="329">
        <f t="shared" si="39"/>
        <v>2.37153997980027</v>
      </c>
      <c r="H144" s="332">
        <f>($L$16+SUM($K$16:K144))*G144</f>
        <v>71448.2150104357</v>
      </c>
      <c r="I144" s="329">
        <f t="shared" si="40"/>
        <v>1.78090059657297</v>
      </c>
      <c r="J144" s="332">
        <f>($L$16+SUM($K$16:K144))*I144</f>
        <v>53653.8155881627</v>
      </c>
      <c r="K144" s="330">
        <v>0</v>
      </c>
      <c r="L144" s="330"/>
      <c r="M144" s="88"/>
      <c r="N144" s="88"/>
      <c r="O144" s="334"/>
      <c r="P144" s="88">
        <f t="shared" si="36"/>
        <v>0.78090059657297</v>
      </c>
      <c r="Q144" s="347"/>
      <c r="R144" s="343"/>
      <c r="S144" s="343"/>
      <c r="T144" s="364"/>
      <c r="U144" s="364"/>
    </row>
    <row r="145" spans="1:21">
      <c r="A145" s="118">
        <v>45777</v>
      </c>
      <c r="B145" s="328">
        <v>59</v>
      </c>
      <c r="C145" s="329">
        <f t="shared" si="37"/>
        <v>5.72000301363665</v>
      </c>
      <c r="D145" s="332">
        <f>($L$16+SUM($K$16:K145))*C145</f>
        <v>172328.532792886</v>
      </c>
      <c r="E145" s="329">
        <f t="shared" si="38"/>
        <v>3.21669685133864</v>
      </c>
      <c r="F145" s="333">
        <f>($L$16+SUM($K$16:K145))*E145</f>
        <v>96910.5518841772</v>
      </c>
      <c r="G145" s="329">
        <f t="shared" si="39"/>
        <v>2.40711307949727</v>
      </c>
      <c r="H145" s="332">
        <f>($L$16+SUM($K$16:K145))*G145</f>
        <v>72519.9382355921</v>
      </c>
      <c r="I145" s="329">
        <f t="shared" si="40"/>
        <v>1.7987096025387</v>
      </c>
      <c r="J145" s="332">
        <f>($L$16+SUM($K$16:K145))*I145</f>
        <v>54190.3537440443</v>
      </c>
      <c r="K145" s="330">
        <v>0</v>
      </c>
      <c r="L145" s="330"/>
      <c r="M145" s="88"/>
      <c r="N145" s="88"/>
      <c r="O145" s="334"/>
      <c r="P145" s="88">
        <f t="shared" si="36"/>
        <v>0.7987096025387</v>
      </c>
      <c r="Q145" s="347"/>
      <c r="R145" s="343"/>
      <c r="S145" s="343"/>
      <c r="T145" s="364"/>
      <c r="U145" s="364"/>
    </row>
    <row r="146" spans="1:21">
      <c r="A146" s="118"/>
      <c r="B146" s="328">
        <v>60</v>
      </c>
      <c r="C146" s="329">
        <f t="shared" si="37"/>
        <v>5.89160310404575</v>
      </c>
      <c r="D146" s="332">
        <f>($L$16+SUM($K$16:K146))*C146</f>
        <v>177498.388776673</v>
      </c>
      <c r="E146" s="329">
        <f t="shared" si="38"/>
        <v>3.28103078836541</v>
      </c>
      <c r="F146" s="333">
        <f>($L$16+SUM($K$16:K146))*E146</f>
        <v>98848.7629218606</v>
      </c>
      <c r="G146" s="329">
        <f t="shared" si="39"/>
        <v>2.44321977568973</v>
      </c>
      <c r="H146" s="332">
        <f>($L$16+SUM($K$16:K146))*G146</f>
        <v>73607.737309126</v>
      </c>
      <c r="I146" s="329">
        <f t="shared" si="40"/>
        <v>1.81669669856409</v>
      </c>
      <c r="J146" s="332">
        <f>($L$16+SUM($K$16:K146))*I146</f>
        <v>54732.2572814848</v>
      </c>
      <c r="K146" s="330">
        <v>0</v>
      </c>
      <c r="L146" s="330"/>
      <c r="M146" s="88"/>
      <c r="N146" s="88"/>
      <c r="O146" s="334"/>
      <c r="P146" s="88">
        <f t="shared" si="36"/>
        <v>0.81669669856409</v>
      </c>
      <c r="Q146" s="347"/>
      <c r="R146" s="343"/>
      <c r="S146" s="343"/>
      <c r="T146" s="364"/>
      <c r="U146" s="364"/>
    </row>
    <row r="147" spans="1:21">
      <c r="A147" s="118"/>
      <c r="B147" s="328">
        <v>61</v>
      </c>
      <c r="C147" s="329">
        <f t="shared" si="37"/>
        <v>6.06835119716712</v>
      </c>
      <c r="D147" s="332">
        <f>($L$16+SUM($K$16:K147))*C147</f>
        <v>182823.340439973</v>
      </c>
      <c r="E147" s="329">
        <f t="shared" si="38"/>
        <v>3.34665140413272</v>
      </c>
      <c r="F147" s="333">
        <f>($L$16+SUM($K$16:K147))*E147</f>
        <v>100825.738180298</v>
      </c>
      <c r="G147" s="329">
        <f t="shared" si="39"/>
        <v>2.47986807232507</v>
      </c>
      <c r="H147" s="332">
        <f>($L$16+SUM($K$16:K147))*G147</f>
        <v>74711.8533687627</v>
      </c>
      <c r="I147" s="329">
        <f t="shared" si="40"/>
        <v>1.83486366554973</v>
      </c>
      <c r="J147" s="332">
        <f>($L$16+SUM($K$16:K147))*I147</f>
        <v>55279.5798542996</v>
      </c>
      <c r="K147" s="330">
        <v>0</v>
      </c>
      <c r="L147" s="330"/>
      <c r="M147" s="88"/>
      <c r="N147" s="88"/>
      <c r="O147" s="334"/>
      <c r="P147" s="88">
        <f t="shared" si="36"/>
        <v>0.83486366554973</v>
      </c>
      <c r="Q147" s="347"/>
      <c r="R147" s="343"/>
      <c r="S147" s="343"/>
      <c r="T147" s="364"/>
      <c r="U147" s="364"/>
    </row>
    <row r="148" spans="1:21">
      <c r="A148" s="118"/>
      <c r="B148" s="328">
        <v>62</v>
      </c>
      <c r="C148" s="329">
        <f t="shared" ref="C148:C168" si="41">POWER($C$87,B148)</f>
        <v>6.25040173308213</v>
      </c>
      <c r="D148" s="332">
        <f>($L$16+SUM($K$16:K148))*C148</f>
        <v>188308.040653172</v>
      </c>
      <c r="E148" s="329">
        <f t="shared" ref="E148:E168" si="42">POWER($E$87,B148)</f>
        <v>3.41358443221538</v>
      </c>
      <c r="F148" s="333">
        <f>($L$16+SUM($K$16:K148))*E148</f>
        <v>102842.252943904</v>
      </c>
      <c r="G148" s="329">
        <f t="shared" ref="G148:G168" si="43">POWER($G$87,B148)</f>
        <v>2.51706609340995</v>
      </c>
      <c r="H148" s="332">
        <f>($L$16+SUM($K$16:K148))*G148</f>
        <v>75832.5311692942</v>
      </c>
      <c r="I148" s="329">
        <f t="shared" ref="I148:I168" si="44">POWER($I$87,B148)</f>
        <v>1.85321230220523</v>
      </c>
      <c r="J148" s="332">
        <f>($L$16+SUM($K$16:K148))*I148</f>
        <v>55832.3756528427</v>
      </c>
      <c r="K148" s="330">
        <v>0</v>
      </c>
      <c r="L148" s="330"/>
      <c r="M148" s="88"/>
      <c r="N148" s="88"/>
      <c r="O148" s="334"/>
      <c r="P148" s="88">
        <f t="shared" si="36"/>
        <v>0.85321230220523</v>
      </c>
      <c r="Q148" s="347"/>
      <c r="R148" s="343"/>
      <c r="S148" s="343"/>
      <c r="T148" s="364"/>
      <c r="U148" s="364"/>
    </row>
    <row r="149" spans="1:21">
      <c r="A149" s="118"/>
      <c r="B149" s="328">
        <v>63</v>
      </c>
      <c r="C149" s="329">
        <f t="shared" si="41"/>
        <v>6.4379137850746</v>
      </c>
      <c r="D149" s="332">
        <f>($L$16+SUM($K$16:K149))*C149</f>
        <v>193957.281872767</v>
      </c>
      <c r="E149" s="329">
        <f t="shared" si="42"/>
        <v>3.48185612085968</v>
      </c>
      <c r="F149" s="333">
        <f>($L$16+SUM($K$16:K149))*E149</f>
        <v>104899.098002782</v>
      </c>
      <c r="G149" s="329">
        <f t="shared" si="43"/>
        <v>2.5548220848111</v>
      </c>
      <c r="H149" s="332">
        <f>($L$16+SUM($K$16:K149))*G149</f>
        <v>76970.0191368337</v>
      </c>
      <c r="I149" s="329">
        <f t="shared" si="44"/>
        <v>1.87174442522728</v>
      </c>
      <c r="J149" s="332">
        <f>($L$16+SUM($K$16:K149))*I149</f>
        <v>56390.6994093711</v>
      </c>
      <c r="K149" s="330">
        <v>0</v>
      </c>
      <c r="L149" s="330"/>
      <c r="M149" s="88"/>
      <c r="N149" s="88"/>
      <c r="O149" s="334"/>
      <c r="P149" s="88">
        <f t="shared" si="36"/>
        <v>0.87174442522728</v>
      </c>
      <c r="Q149" s="347"/>
      <c r="R149" s="343"/>
      <c r="S149" s="343"/>
      <c r="T149" s="364"/>
      <c r="U149" s="364"/>
    </row>
    <row r="150" spans="1:21">
      <c r="A150" s="118"/>
      <c r="B150" s="328">
        <v>64</v>
      </c>
      <c r="C150" s="329">
        <f t="shared" si="41"/>
        <v>6.63105119862683</v>
      </c>
      <c r="D150" s="332">
        <f>($L$16+SUM($K$16:K150))*C150</f>
        <v>199776.00032895</v>
      </c>
      <c r="E150" s="329">
        <f t="shared" si="42"/>
        <v>3.55149324327688</v>
      </c>
      <c r="F150" s="333">
        <f>($L$16+SUM($K$16:K150))*E150</f>
        <v>106997.079962838</v>
      </c>
      <c r="G150" s="329">
        <f t="shared" si="43"/>
        <v>2.59314441608327</v>
      </c>
      <c r="H150" s="332">
        <f>($L$16+SUM($K$16:K150))*G150</f>
        <v>78124.5694238863</v>
      </c>
      <c r="I150" s="329">
        <f t="shared" si="44"/>
        <v>1.89046186947955</v>
      </c>
      <c r="J150" s="332">
        <f>($L$16+SUM($K$16:K150))*I150</f>
        <v>56954.6064034647</v>
      </c>
      <c r="K150" s="330">
        <v>0</v>
      </c>
      <c r="L150" s="330"/>
      <c r="M150" s="88"/>
      <c r="N150" s="88"/>
      <c r="O150" s="334"/>
      <c r="P150" s="88">
        <f t="shared" si="36"/>
        <v>0.89046186947955</v>
      </c>
      <c r="Q150" s="347"/>
      <c r="R150" s="343"/>
      <c r="S150" s="343"/>
      <c r="T150" s="364"/>
      <c r="U150" s="364"/>
    </row>
    <row r="151" spans="1:21">
      <c r="A151" s="118"/>
      <c r="B151" s="328">
        <v>65</v>
      </c>
      <c r="C151" s="329">
        <f t="shared" si="41"/>
        <v>6.82998273458564</v>
      </c>
      <c r="D151" s="332">
        <f>($L$16+SUM($K$16:K151))*C151</f>
        <v>205769.280338819</v>
      </c>
      <c r="E151" s="329">
        <f t="shared" si="42"/>
        <v>3.62252310814242</v>
      </c>
      <c r="F151" s="333">
        <f>($L$16+SUM($K$16:K151))*E151</f>
        <v>109137.021562095</v>
      </c>
      <c r="G151" s="329">
        <f t="shared" si="43"/>
        <v>2.63204158232451</v>
      </c>
      <c r="H151" s="332">
        <f>($L$16+SUM($K$16:K151))*G151</f>
        <v>79296.4379652443</v>
      </c>
      <c r="I151" s="329">
        <f t="shared" si="44"/>
        <v>1.90936648817435</v>
      </c>
      <c r="J151" s="332">
        <f>($L$16+SUM($K$16:K151))*I151</f>
        <v>57524.1524674995</v>
      </c>
      <c r="K151" s="330">
        <v>0</v>
      </c>
      <c r="L151" s="330"/>
      <c r="M151" s="88"/>
      <c r="N151" s="88"/>
      <c r="O151" s="334"/>
      <c r="P151" s="88">
        <f t="shared" si="36"/>
        <v>0.90936648817435</v>
      </c>
      <c r="Q151" s="347"/>
      <c r="R151" s="343"/>
      <c r="S151" s="343"/>
      <c r="T151" s="364"/>
      <c r="U151" s="364"/>
    </row>
    <row r="152" spans="1:21">
      <c r="A152" s="118"/>
      <c r="B152" s="328">
        <v>66</v>
      </c>
      <c r="C152" s="329">
        <f t="shared" si="41"/>
        <v>7.03488221662321</v>
      </c>
      <c r="D152" s="332">
        <f>($L$16+SUM($K$16:K152))*C152</f>
        <v>211942.358748983</v>
      </c>
      <c r="E152" s="329">
        <f t="shared" si="42"/>
        <v>3.69497357030526</v>
      </c>
      <c r="F152" s="333">
        <f>($L$16+SUM($K$16:K152))*E152</f>
        <v>111319.761993336</v>
      </c>
      <c r="G152" s="329">
        <f t="shared" si="43"/>
        <v>2.67152220605938</v>
      </c>
      <c r="H152" s="332">
        <f>($L$16+SUM($K$16:K152))*G152</f>
        <v>80485.8845347231</v>
      </c>
      <c r="I152" s="329">
        <f t="shared" si="44"/>
        <v>1.92846015305609</v>
      </c>
      <c r="J152" s="332">
        <f>($L$16+SUM($K$16:K152))*I152</f>
        <v>58099.3939921744</v>
      </c>
      <c r="K152" s="330">
        <v>0</v>
      </c>
      <c r="L152" s="330"/>
      <c r="M152" s="88"/>
      <c r="N152" s="88"/>
      <c r="O152" s="334"/>
      <c r="P152" s="88">
        <f t="shared" si="36"/>
        <v>0.92846015305609</v>
      </c>
      <c r="Q152" s="347"/>
      <c r="R152" s="343"/>
      <c r="S152" s="343"/>
      <c r="T152" s="364"/>
      <c r="U152" s="364"/>
    </row>
    <row r="153" spans="1:21">
      <c r="A153" s="118"/>
      <c r="B153" s="328">
        <v>67</v>
      </c>
      <c r="C153" s="329">
        <f t="shared" si="41"/>
        <v>7.2459286831219</v>
      </c>
      <c r="D153" s="332">
        <f>($L$16+SUM($K$16:K153))*C153</f>
        <v>218300.629511453</v>
      </c>
      <c r="E153" s="329">
        <f t="shared" si="42"/>
        <v>3.76887304171137</v>
      </c>
      <c r="F153" s="333">
        <f>($L$16+SUM($K$16:K153))*E153</f>
        <v>113546.157233203</v>
      </c>
      <c r="G153" s="329">
        <f t="shared" si="43"/>
        <v>2.71159503915027</v>
      </c>
      <c r="H153" s="332">
        <f>($L$16+SUM($K$16:K153))*G153</f>
        <v>81693.1728027439</v>
      </c>
      <c r="I153" s="329">
        <f t="shared" si="44"/>
        <v>1.94774475458665</v>
      </c>
      <c r="J153" s="332">
        <f>($L$16+SUM($K$16:K153))*I153</f>
        <v>58680.3879320961</v>
      </c>
      <c r="K153" s="330">
        <v>0</v>
      </c>
      <c r="L153" s="330"/>
      <c r="M153" s="88"/>
      <c r="N153" s="88"/>
      <c r="O153" s="334"/>
      <c r="P153" s="88">
        <f t="shared" si="36"/>
        <v>0.94774475458665</v>
      </c>
      <c r="Q153" s="347"/>
      <c r="R153" s="343"/>
      <c r="S153" s="343"/>
      <c r="T153" s="364"/>
      <c r="U153" s="364"/>
    </row>
    <row r="154" spans="1:21">
      <c r="A154" s="118"/>
      <c r="B154" s="328">
        <v>68</v>
      </c>
      <c r="C154" s="329">
        <f t="shared" si="41"/>
        <v>7.46330654361556</v>
      </c>
      <c r="D154" s="332">
        <f>($L$16+SUM($K$16:K154))*C154</f>
        <v>224849.648396796</v>
      </c>
      <c r="E154" s="329">
        <f t="shared" si="42"/>
        <v>3.8442505025456</v>
      </c>
      <c r="F154" s="333">
        <f>($L$16+SUM($K$16:K154))*E154</f>
        <v>115817.080377867</v>
      </c>
      <c r="G154" s="329">
        <f t="shared" si="43"/>
        <v>2.75226896473753</v>
      </c>
      <c r="H154" s="332">
        <f>($L$16+SUM($K$16:K154))*G154</f>
        <v>82918.5703947852</v>
      </c>
      <c r="I154" s="329">
        <f t="shared" si="44"/>
        <v>1.96722220213252</v>
      </c>
      <c r="J154" s="332">
        <f>($L$16+SUM($K$16:K154))*I154</f>
        <v>59267.1918114172</v>
      </c>
      <c r="K154" s="330">
        <v>0</v>
      </c>
      <c r="L154" s="330"/>
      <c r="M154" s="88"/>
      <c r="N154" s="88"/>
      <c r="O154" s="334"/>
      <c r="P154" s="88">
        <f t="shared" si="36"/>
        <v>0.96722220213252</v>
      </c>
      <c r="Q154" s="347"/>
      <c r="R154" s="343"/>
      <c r="S154" s="343"/>
      <c r="T154" s="364"/>
      <c r="U154" s="364"/>
    </row>
    <row r="155" spans="1:21">
      <c r="A155" s="118"/>
      <c r="B155" s="328">
        <v>69</v>
      </c>
      <c r="C155" s="329">
        <f t="shared" si="41"/>
        <v>7.68720573992403</v>
      </c>
      <c r="D155" s="332">
        <f>($L$16+SUM($K$16:K155))*C155</f>
        <v>231595.1378487</v>
      </c>
      <c r="E155" s="329">
        <f t="shared" si="42"/>
        <v>3.92113551259651</v>
      </c>
      <c r="F155" s="333">
        <f>($L$16+SUM($K$16:K155))*E155</f>
        <v>118133.421985424</v>
      </c>
      <c r="G155" s="329">
        <f t="shared" si="43"/>
        <v>2.79355299920859</v>
      </c>
      <c r="H155" s="332">
        <f>($L$16+SUM($K$16:K155))*G155</f>
        <v>84162.3489507069</v>
      </c>
      <c r="I155" s="329">
        <f t="shared" si="44"/>
        <v>1.98689442415385</v>
      </c>
      <c r="J155" s="332">
        <f>($L$16+SUM($K$16:K155))*I155</f>
        <v>59859.8637295315</v>
      </c>
      <c r="K155" s="330">
        <v>0</v>
      </c>
      <c r="L155" s="330"/>
      <c r="M155" s="88"/>
      <c r="N155" s="88"/>
      <c r="O155" s="334"/>
      <c r="P155" s="88">
        <f t="shared" si="36"/>
        <v>0.98689442415385</v>
      </c>
      <c r="Q155" s="347"/>
      <c r="R155" s="343"/>
      <c r="S155" s="343"/>
      <c r="T155" s="364"/>
      <c r="U155" s="364"/>
    </row>
    <row r="156" spans="1:21">
      <c r="A156" s="118"/>
      <c r="B156" s="328">
        <v>70</v>
      </c>
      <c r="C156" s="329">
        <f t="shared" si="41"/>
        <v>7.91782191212175</v>
      </c>
      <c r="D156" s="332">
        <f>($L$16+SUM($K$16:K156))*C156</f>
        <v>238542.991984161</v>
      </c>
      <c r="E156" s="329">
        <f t="shared" si="42"/>
        <v>3.99955822284844</v>
      </c>
      <c r="F156" s="333">
        <f>($L$16+SUM($K$16:K156))*E156</f>
        <v>120496.090425133</v>
      </c>
      <c r="G156" s="329">
        <f t="shared" si="43"/>
        <v>2.83545629419672</v>
      </c>
      <c r="H156" s="332">
        <f>($L$16+SUM($K$16:K156))*G156</f>
        <v>85424.7841849675</v>
      </c>
      <c r="I156" s="329">
        <f t="shared" si="44"/>
        <v>2.00676336839539</v>
      </c>
      <c r="J156" s="332">
        <f>($L$16+SUM($K$16:K156))*I156</f>
        <v>60458.4623668269</v>
      </c>
      <c r="K156" s="330">
        <v>0</v>
      </c>
      <c r="L156" s="330"/>
      <c r="M156" s="88"/>
      <c r="N156" s="88"/>
      <c r="O156" s="334"/>
      <c r="P156" s="88">
        <f t="shared" si="36"/>
        <v>1.00676336839539</v>
      </c>
      <c r="Q156" s="347"/>
      <c r="R156" s="343"/>
      <c r="S156" s="343"/>
      <c r="T156" s="364"/>
      <c r="U156" s="364"/>
    </row>
    <row r="157" spans="1:21">
      <c r="A157" s="118"/>
      <c r="B157" s="328">
        <v>71</v>
      </c>
      <c r="C157" s="329">
        <f t="shared" si="41"/>
        <v>8.1553565694854</v>
      </c>
      <c r="D157" s="332">
        <f>($L$16+SUM($K$16:K157))*C157</f>
        <v>245699.281743686</v>
      </c>
      <c r="E157" s="329">
        <f t="shared" si="42"/>
        <v>4.07954938730541</v>
      </c>
      <c r="F157" s="333">
        <f>($L$16+SUM($K$16:K157))*E157</f>
        <v>122906.012233636</v>
      </c>
      <c r="G157" s="329">
        <f t="shared" si="43"/>
        <v>2.87798813860967</v>
      </c>
      <c r="H157" s="332">
        <f>($L$16+SUM($K$16:K157))*G157</f>
        <v>86706.155947742</v>
      </c>
      <c r="I157" s="329">
        <f t="shared" si="44"/>
        <v>2.02683100207934</v>
      </c>
      <c r="J157" s="332">
        <f>($L$16+SUM($K$16:K157))*I157</f>
        <v>61063.046990495</v>
      </c>
      <c r="K157" s="330">
        <v>0</v>
      </c>
      <c r="L157" s="330"/>
      <c r="M157" s="88"/>
      <c r="N157" s="88"/>
      <c r="O157" s="334"/>
      <c r="P157" s="88">
        <f t="shared" si="36"/>
        <v>1.02683100207934</v>
      </c>
      <c r="Q157" s="347"/>
      <c r="R157" s="343"/>
      <c r="S157" s="343"/>
      <c r="T157" s="364"/>
      <c r="U157" s="364"/>
    </row>
    <row r="158" spans="1:21">
      <c r="A158" s="118"/>
      <c r="B158" s="328">
        <v>72</v>
      </c>
      <c r="C158" s="329">
        <f t="shared" si="41"/>
        <v>8.40001726656997</v>
      </c>
      <c r="D158" s="332">
        <f>($L$16+SUM($K$16:K158))*C158</f>
        <v>253070.260195997</v>
      </c>
      <c r="E158" s="329">
        <f t="shared" si="42"/>
        <v>4.16114037505152</v>
      </c>
      <c r="F158" s="333">
        <f>($L$16+SUM($K$16:K158))*E158</f>
        <v>125364.132478308</v>
      </c>
      <c r="G158" s="329">
        <f t="shared" si="43"/>
        <v>2.92115796068881</v>
      </c>
      <c r="H158" s="332">
        <f>($L$16+SUM($K$16:K158))*G158</f>
        <v>88006.748286958</v>
      </c>
      <c r="I158" s="329">
        <f t="shared" si="44"/>
        <v>2.04709931210013</v>
      </c>
      <c r="J158" s="332">
        <f>($L$16+SUM($K$16:K158))*I158</f>
        <v>61673.6774603998</v>
      </c>
      <c r="K158" s="330">
        <v>0</v>
      </c>
      <c r="L158" s="330"/>
      <c r="M158" s="88"/>
      <c r="N158" s="88"/>
      <c r="O158" s="334"/>
      <c r="P158" s="88">
        <f t="shared" si="36"/>
        <v>1.04709931210013</v>
      </c>
      <c r="Q158" s="347"/>
      <c r="R158" s="343"/>
      <c r="S158" s="343"/>
      <c r="T158" s="364"/>
      <c r="U158" s="364"/>
    </row>
    <row r="159" spans="1:21">
      <c r="A159" s="118"/>
      <c r="B159" s="328">
        <v>73</v>
      </c>
      <c r="C159" s="329">
        <f t="shared" si="41"/>
        <v>8.65201778456706</v>
      </c>
      <c r="D159" s="332">
        <f>($L$16+SUM($K$16:K159))*C159</f>
        <v>260662.368001876</v>
      </c>
      <c r="E159" s="329">
        <f t="shared" si="42"/>
        <v>4.24436318255255</v>
      </c>
      <c r="F159" s="333">
        <f>($L$16+SUM($K$16:K159))*E159</f>
        <v>127871.415127875</v>
      </c>
      <c r="G159" s="329">
        <f t="shared" si="43"/>
        <v>2.96497533009914</v>
      </c>
      <c r="H159" s="332">
        <f>($L$16+SUM($K$16:K159))*G159</f>
        <v>89326.8495112623</v>
      </c>
      <c r="I159" s="329">
        <f t="shared" si="44"/>
        <v>2.06757030522113</v>
      </c>
      <c r="J159" s="332">
        <f>($L$16+SUM($K$16:K159))*I159</f>
        <v>62290.4142350038</v>
      </c>
      <c r="K159" s="330">
        <v>0</v>
      </c>
      <c r="L159" s="330"/>
      <c r="M159" s="88"/>
      <c r="N159" s="88"/>
      <c r="O159" s="334"/>
      <c r="P159" s="88">
        <f t="shared" si="36"/>
        <v>1.06757030522113</v>
      </c>
      <c r="Q159" s="347"/>
      <c r="R159" s="343"/>
      <c r="S159" s="343"/>
      <c r="T159" s="364"/>
      <c r="U159" s="364"/>
    </row>
    <row r="160" spans="1:21">
      <c r="A160" s="118"/>
      <c r="B160" s="328">
        <v>74</v>
      </c>
      <c r="C160" s="329">
        <f t="shared" si="41"/>
        <v>8.91157831810408</v>
      </c>
      <c r="D160" s="332">
        <f>($L$16+SUM($K$16:K160))*C160</f>
        <v>268482.239041933</v>
      </c>
      <c r="E160" s="329">
        <f t="shared" si="42"/>
        <v>4.3292504462036</v>
      </c>
      <c r="F160" s="333">
        <f>($L$16+SUM($K$16:K160))*E160</f>
        <v>130428.843430432</v>
      </c>
      <c r="G160" s="329">
        <f t="shared" si="43"/>
        <v>3.00944996005063</v>
      </c>
      <c r="H160" s="332">
        <f>($L$16+SUM($K$16:K160))*G160</f>
        <v>90666.7522539314</v>
      </c>
      <c r="I160" s="329">
        <f t="shared" si="44"/>
        <v>2.08824600827334</v>
      </c>
      <c r="J160" s="332">
        <f>($L$16+SUM($K$16:K160))*I160</f>
        <v>62913.3183773538</v>
      </c>
      <c r="K160" s="330">
        <v>0</v>
      </c>
      <c r="L160" s="330"/>
      <c r="M160" s="88"/>
      <c r="N160" s="88"/>
      <c r="O160" s="334"/>
      <c r="P160" s="88">
        <f t="shared" si="36"/>
        <v>1.08824600827334</v>
      </c>
      <c r="Q160" s="347"/>
      <c r="R160" s="343"/>
      <c r="S160" s="343"/>
      <c r="T160" s="364"/>
      <c r="U160" s="364"/>
    </row>
    <row r="161" spans="1:21">
      <c r="A161" s="118"/>
      <c r="B161" s="328">
        <v>75</v>
      </c>
      <c r="C161" s="329">
        <f t="shared" si="41"/>
        <v>9.1789256676472</v>
      </c>
      <c r="D161" s="332">
        <f>($L$16+SUM($K$16:K161))*C161</f>
        <v>276536.706213191</v>
      </c>
      <c r="E161" s="329">
        <f t="shared" si="42"/>
        <v>4.41583545512767</v>
      </c>
      <c r="F161" s="333">
        <f>($L$16+SUM($K$16:K161))*E161</f>
        <v>133037.420299041</v>
      </c>
      <c r="G161" s="329">
        <f t="shared" si="43"/>
        <v>3.05459170945139</v>
      </c>
      <c r="H161" s="332">
        <f>($L$16+SUM($K$16:K161))*G161</f>
        <v>92026.7535377403</v>
      </c>
      <c r="I161" s="329">
        <f t="shared" si="44"/>
        <v>2.10912846835608</v>
      </c>
      <c r="J161" s="332">
        <f>($L$16+SUM($K$16:K161))*I161</f>
        <v>63542.4515611275</v>
      </c>
      <c r="K161" s="330">
        <v>0</v>
      </c>
      <c r="L161" s="330"/>
      <c r="M161" s="88"/>
      <c r="N161" s="88"/>
      <c r="O161" s="334"/>
      <c r="P161" s="88">
        <f t="shared" si="36"/>
        <v>1.10912846835608</v>
      </c>
      <c r="Q161" s="347"/>
      <c r="R161" s="343"/>
      <c r="S161" s="343"/>
      <c r="T161" s="364"/>
      <c r="U161" s="364"/>
    </row>
    <row r="162" spans="1:21">
      <c r="A162" s="118"/>
      <c r="B162" s="328">
        <v>76</v>
      </c>
      <c r="C162" s="329">
        <f t="shared" si="41"/>
        <v>9.45429343767662</v>
      </c>
      <c r="D162" s="332">
        <f>($L$16+SUM($K$16:K162))*C162</f>
        <v>284832.807399587</v>
      </c>
      <c r="E162" s="329">
        <f t="shared" si="42"/>
        <v>4.50415216423022</v>
      </c>
      <c r="F162" s="333">
        <f>($L$16+SUM($K$16:K162))*E162</f>
        <v>135698.168705021</v>
      </c>
      <c r="G162" s="329">
        <f t="shared" si="43"/>
        <v>3.10041058509316</v>
      </c>
      <c r="H162" s="332">
        <f>($L$16+SUM($K$16:K162))*G162</f>
        <v>93407.1548408064</v>
      </c>
      <c r="I162" s="329">
        <f t="shared" si="44"/>
        <v>2.13021975303964</v>
      </c>
      <c r="J162" s="332">
        <f>($L$16+SUM($K$16:K162))*I162</f>
        <v>64177.8760767388</v>
      </c>
      <c r="K162" s="330">
        <v>0</v>
      </c>
      <c r="L162" s="330"/>
      <c r="M162" s="88"/>
      <c r="N162" s="88"/>
      <c r="O162" s="334"/>
      <c r="P162" s="88">
        <f t="shared" si="36"/>
        <v>1.13021975303964</v>
      </c>
      <c r="Q162" s="347"/>
      <c r="R162" s="343"/>
      <c r="S162" s="343"/>
      <c r="T162" s="364"/>
      <c r="U162" s="364"/>
    </row>
    <row r="163" spans="1:21">
      <c r="A163" s="118"/>
      <c r="B163" s="328">
        <v>77</v>
      </c>
      <c r="C163" s="329">
        <f t="shared" si="41"/>
        <v>9.73792224080692</v>
      </c>
      <c r="D163" s="332">
        <f>($L$16+SUM($K$16:K163))*C163</f>
        <v>293377.791621574</v>
      </c>
      <c r="E163" s="329">
        <f t="shared" si="42"/>
        <v>4.59423520751483</v>
      </c>
      <c r="F163" s="333">
        <f>($L$16+SUM($K$16:K163))*E163</f>
        <v>138412.132079122</v>
      </c>
      <c r="G163" s="329">
        <f t="shared" si="43"/>
        <v>3.14691674386956</v>
      </c>
      <c r="H163" s="332">
        <f>($L$16+SUM($K$16:K163))*G163</f>
        <v>94808.2621634186</v>
      </c>
      <c r="I163" s="329">
        <f t="shared" si="44"/>
        <v>2.15152195057004</v>
      </c>
      <c r="J163" s="332">
        <f>($L$16+SUM($K$16:K163))*I163</f>
        <v>64819.6548375063</v>
      </c>
      <c r="K163" s="330">
        <v>0</v>
      </c>
      <c r="L163" s="330"/>
      <c r="M163" s="88"/>
      <c r="N163" s="88"/>
      <c r="O163" s="334"/>
      <c r="P163" s="88">
        <f t="shared" si="36"/>
        <v>1.15152195057004</v>
      </c>
      <c r="Q163" s="347"/>
      <c r="R163" s="343"/>
      <c r="S163" s="343"/>
      <c r="T163" s="364"/>
      <c r="U163" s="364"/>
    </row>
    <row r="164" spans="1:21">
      <c r="A164" s="118"/>
      <c r="B164" s="328">
        <v>78</v>
      </c>
      <c r="C164" s="329">
        <f t="shared" si="41"/>
        <v>10.0300599080311</v>
      </c>
      <c r="D164" s="332">
        <f>($L$16+SUM($K$16:K164))*C164</f>
        <v>302179.125370221</v>
      </c>
      <c r="E164" s="329">
        <f t="shared" si="42"/>
        <v>4.68611991166513</v>
      </c>
      <c r="F164" s="333">
        <f>($L$16+SUM($K$16:K164))*E164</f>
        <v>141180.374720704</v>
      </c>
      <c r="G164" s="329">
        <f t="shared" si="43"/>
        <v>3.1941204950276</v>
      </c>
      <c r="H164" s="332">
        <f>($L$16+SUM($K$16:K164))*G164</f>
        <v>96230.3860958698</v>
      </c>
      <c r="I164" s="329">
        <f t="shared" si="44"/>
        <v>2.17303717007574</v>
      </c>
      <c r="J164" s="332">
        <f>($L$16+SUM($K$16:K164))*I164</f>
        <v>65467.8513858813</v>
      </c>
      <c r="K164" s="330">
        <v>0</v>
      </c>
      <c r="L164" s="330"/>
      <c r="M164" s="88"/>
      <c r="N164" s="88"/>
      <c r="O164" s="334"/>
      <c r="P164" s="88">
        <f t="shared" si="36"/>
        <v>1.17303717007574</v>
      </c>
      <c r="Q164" s="347"/>
      <c r="R164" s="343"/>
      <c r="S164" s="343"/>
      <c r="T164" s="364"/>
      <c r="U164" s="364"/>
    </row>
    <row r="165" spans="1:21">
      <c r="A165" s="118"/>
      <c r="B165" s="328">
        <v>79</v>
      </c>
      <c r="C165" s="329">
        <f t="shared" si="41"/>
        <v>10.3309617052721</v>
      </c>
      <c r="D165" s="332">
        <f>($L$16+SUM($K$16:K165))*C165</f>
        <v>311244.499131329</v>
      </c>
      <c r="E165" s="329">
        <f t="shared" si="42"/>
        <v>4.77984230989843</v>
      </c>
      <c r="F165" s="333">
        <f>($L$16+SUM($K$16:K165))*E165</f>
        <v>144003.982215118</v>
      </c>
      <c r="G165" s="329">
        <f t="shared" si="43"/>
        <v>3.24203230245301</v>
      </c>
      <c r="H165" s="332">
        <f>($L$16+SUM($K$16:K165))*G165</f>
        <v>97673.8418873077</v>
      </c>
      <c r="I165" s="329">
        <f t="shared" si="44"/>
        <v>2.19476754177649</v>
      </c>
      <c r="J165" s="332">
        <f>($L$16+SUM($K$16:K165))*I165</f>
        <v>66122.5298997399</v>
      </c>
      <c r="K165" s="330">
        <v>0</v>
      </c>
      <c r="L165" s="330"/>
      <c r="M165" s="88"/>
      <c r="N165" s="88"/>
      <c r="O165" s="334"/>
      <c r="P165" s="88">
        <f t="shared" si="36"/>
        <v>1.19476754177649</v>
      </c>
      <c r="Q165" s="347"/>
      <c r="R165" s="343"/>
      <c r="S165" s="343"/>
      <c r="T165" s="364"/>
      <c r="U165" s="364"/>
    </row>
    <row r="166" spans="1:21">
      <c r="A166" s="118"/>
      <c r="B166" s="328">
        <v>80</v>
      </c>
      <c r="C166" s="329">
        <f t="shared" si="41"/>
        <v>10.6408905564302</v>
      </c>
      <c r="D166" s="332">
        <f>($L$16+SUM($K$16:K166))*C166</f>
        <v>320581.834105267</v>
      </c>
      <c r="E166" s="329">
        <f t="shared" si="42"/>
        <v>4.8754391560964</v>
      </c>
      <c r="F166" s="333">
        <f>($L$16+SUM($K$16:K166))*E166</f>
        <v>146884.061859421</v>
      </c>
      <c r="G166" s="329">
        <f t="shared" si="43"/>
        <v>3.29066278698981</v>
      </c>
      <c r="H166" s="332">
        <f>($L$16+SUM($K$16:K166))*G166</f>
        <v>99138.9495156175</v>
      </c>
      <c r="I166" s="329">
        <f t="shared" si="44"/>
        <v>2.21671521719426</v>
      </c>
      <c r="J166" s="332">
        <f>($L$16+SUM($K$16:K166))*I166</f>
        <v>66783.7551987375</v>
      </c>
      <c r="K166" s="330">
        <v>0</v>
      </c>
      <c r="L166" s="330"/>
      <c r="M166" s="88"/>
      <c r="N166" s="88"/>
      <c r="O166" s="334"/>
      <c r="P166" s="88">
        <f t="shared" si="36"/>
        <v>1.21671521719426</v>
      </c>
      <c r="Q166" s="347"/>
      <c r="R166" s="343"/>
      <c r="S166" s="343"/>
      <c r="T166" s="364"/>
      <c r="U166" s="364"/>
    </row>
    <row r="167" spans="1:21">
      <c r="A167" s="118"/>
      <c r="B167" s="328">
        <v>81</v>
      </c>
      <c r="C167" s="329">
        <f t="shared" si="41"/>
        <v>10.9601172731231</v>
      </c>
      <c r="D167" s="332">
        <f>($L$16+SUM($K$16:K167))*C167</f>
        <v>330199.289128425</v>
      </c>
      <c r="E167" s="329">
        <f t="shared" si="42"/>
        <v>4.97294793921832</v>
      </c>
      <c r="F167" s="333">
        <f>($L$16+SUM($K$16:K167))*E167</f>
        <v>149821.743096609</v>
      </c>
      <c r="G167" s="329">
        <f t="shared" si="43"/>
        <v>3.34002272879466</v>
      </c>
      <c r="H167" s="332">
        <f>($L$16+SUM($K$16:K167))*G167</f>
        <v>100626.033758352</v>
      </c>
      <c r="I167" s="329">
        <f t="shared" si="44"/>
        <v>2.2388823693662</v>
      </c>
      <c r="J167" s="332">
        <f>($L$16+SUM($K$16:K167))*I167</f>
        <v>67451.5927507248</v>
      </c>
      <c r="K167" s="330">
        <v>0</v>
      </c>
      <c r="L167" s="330"/>
      <c r="M167" s="88"/>
      <c r="N167" s="88"/>
      <c r="O167" s="334"/>
      <c r="P167" s="88">
        <f t="shared" si="36"/>
        <v>1.2388823693662</v>
      </c>
      <c r="Q167" s="347"/>
      <c r="R167" s="343"/>
      <c r="S167" s="343"/>
      <c r="T167" s="364"/>
      <c r="U167" s="364"/>
    </row>
    <row r="168" spans="1:21">
      <c r="A168" s="118"/>
      <c r="B168" s="328">
        <v>82</v>
      </c>
      <c r="C168" s="329">
        <f t="shared" si="41"/>
        <v>11.2889207913168</v>
      </c>
      <c r="D168" s="332">
        <f>($L$16+SUM($K$16:K168))*C168</f>
        <v>340105.267802278</v>
      </c>
      <c r="E168" s="329">
        <f t="shared" si="42"/>
        <v>5.07240689800269</v>
      </c>
      <c r="F168" s="333">
        <f>($L$16+SUM($K$16:K168))*E168</f>
        <v>152818.177958541</v>
      </c>
      <c r="G168" s="329">
        <f t="shared" si="43"/>
        <v>3.39012306972658</v>
      </c>
      <c r="H168" s="332">
        <f>($L$16+SUM($K$16:K168))*G168</f>
        <v>102135.424264727</v>
      </c>
      <c r="I168" s="329">
        <f t="shared" si="44"/>
        <v>2.26127119305986</v>
      </c>
      <c r="J168" s="332">
        <f>($L$16+SUM($K$16:K168))*I168</f>
        <v>68126.108678232</v>
      </c>
      <c r="K168" s="330">
        <v>0</v>
      </c>
      <c r="L168" s="330"/>
      <c r="M168" s="88"/>
      <c r="N168" s="88"/>
      <c r="O168" s="334"/>
      <c r="P168" s="88">
        <f t="shared" ref="P168:P185" si="45">I168-1</f>
        <v>1.26127119305986</v>
      </c>
      <c r="Q168" s="347"/>
      <c r="R168" s="343"/>
      <c r="S168" s="343"/>
      <c r="T168" s="364"/>
      <c r="U168" s="364"/>
    </row>
    <row r="169" spans="1:21">
      <c r="A169" s="118"/>
      <c r="B169" s="328">
        <v>83</v>
      </c>
      <c r="C169" s="329">
        <f t="shared" ref="C169:C176" si="46">POWER($C$87,B169)</f>
        <v>11.6275884150563</v>
      </c>
      <c r="D169" s="332">
        <f>($L$16+SUM($K$16:K169))*C169</f>
        <v>350308.425836346</v>
      </c>
      <c r="E169" s="329">
        <f t="shared" ref="E169:E176" si="47">POWER($E$87,B169)</f>
        <v>5.17385503596275</v>
      </c>
      <c r="F169" s="333">
        <f>($L$16+SUM($K$16:K169))*E169</f>
        <v>155874.541517712</v>
      </c>
      <c r="G169" s="329">
        <f t="shared" ref="G169:G176" si="48">POWER($G$87,B169)</f>
        <v>3.44097491577247</v>
      </c>
      <c r="H169" s="332">
        <f>($L$16+SUM($K$16:K169))*G169</f>
        <v>103667.455628698</v>
      </c>
      <c r="I169" s="329">
        <f t="shared" ref="I169:I176" si="49">POWER($I$87,B169)</f>
        <v>2.28388390499046</v>
      </c>
      <c r="J169" s="332">
        <f>($L$16+SUM($K$16:K169))*I169</f>
        <v>68807.3697650143</v>
      </c>
      <c r="K169" s="330">
        <v>0</v>
      </c>
      <c r="L169" s="330"/>
      <c r="M169" s="88"/>
      <c r="N169" s="88"/>
      <c r="O169" s="334"/>
      <c r="P169" s="88">
        <f t="shared" si="45"/>
        <v>1.28388390499046</v>
      </c>
      <c r="Q169" s="347"/>
      <c r="R169" s="343"/>
      <c r="S169" s="343"/>
      <c r="T169" s="364"/>
      <c r="U169" s="364"/>
    </row>
    <row r="170" spans="1:21">
      <c r="A170" s="118"/>
      <c r="B170" s="328">
        <v>84</v>
      </c>
      <c r="C170" s="329">
        <f t="shared" si="46"/>
        <v>11.976416067508</v>
      </c>
      <c r="D170" s="332">
        <f>($L$16+SUM($K$16:K170))*C170</f>
        <v>360817.678611437</v>
      </c>
      <c r="E170" s="329">
        <f t="shared" si="47"/>
        <v>5.277332136682</v>
      </c>
      <c r="F170" s="333">
        <f>($L$16+SUM($K$16:K170))*E170</f>
        <v>158992.032348066</v>
      </c>
      <c r="G170" s="329">
        <f t="shared" si="48"/>
        <v>3.49258953950906</v>
      </c>
      <c r="H170" s="332">
        <f>($L$16+SUM($K$16:K170))*G170</f>
        <v>105222.467463128</v>
      </c>
      <c r="I170" s="329">
        <f t="shared" si="49"/>
        <v>2.30672274404037</v>
      </c>
      <c r="J170" s="332">
        <f>($L$16+SUM($K$16:K170))*I170</f>
        <v>69495.4434626646</v>
      </c>
      <c r="K170" s="330">
        <v>0</v>
      </c>
      <c r="L170" s="330"/>
      <c r="M170" s="88"/>
      <c r="N170" s="88"/>
      <c r="O170" s="334"/>
      <c r="P170" s="88">
        <f t="shared" si="45"/>
        <v>1.30672274404037</v>
      </c>
      <c r="Q170" s="347"/>
      <c r="R170" s="343"/>
      <c r="S170" s="343"/>
      <c r="T170" s="364"/>
      <c r="U170" s="364"/>
    </row>
    <row r="171" spans="1:21">
      <c r="A171" s="118"/>
      <c r="B171" s="328">
        <v>85</v>
      </c>
      <c r="C171" s="329">
        <f t="shared" si="46"/>
        <v>12.3357085495333</v>
      </c>
      <c r="D171" s="332">
        <f>($L$16+SUM($K$16:K171))*C171</f>
        <v>371642.208969782</v>
      </c>
      <c r="E171" s="329">
        <f t="shared" si="47"/>
        <v>5.38287877941564</v>
      </c>
      <c r="F171" s="333">
        <f>($L$16+SUM($K$16:K171))*E171</f>
        <v>162171.872995028</v>
      </c>
      <c r="G171" s="329">
        <f t="shared" si="48"/>
        <v>3.5449783826017</v>
      </c>
      <c r="H171" s="332">
        <f>($L$16+SUM($K$16:K171))*G171</f>
        <v>106800.804475075</v>
      </c>
      <c r="I171" s="329">
        <f t="shared" si="49"/>
        <v>2.32978997148077</v>
      </c>
      <c r="J171" s="332">
        <f>($L$16+SUM($K$16:K171))*I171</f>
        <v>70190.3978972912</v>
      </c>
      <c r="K171" s="330">
        <v>0</v>
      </c>
      <c r="L171" s="330"/>
      <c r="M171" s="88"/>
      <c r="N171" s="88"/>
      <c r="O171" s="334"/>
      <c r="P171" s="88">
        <f t="shared" si="45"/>
        <v>1.32978997148077</v>
      </c>
      <c r="Q171" s="347"/>
      <c r="R171" s="343"/>
      <c r="S171" s="343"/>
      <c r="T171" s="364"/>
      <c r="U171" s="364"/>
    </row>
    <row r="172" spans="1:21">
      <c r="A172" s="118"/>
      <c r="B172" s="328">
        <v>86</v>
      </c>
      <c r="C172" s="329">
        <f t="shared" si="46"/>
        <v>12.7057798060193</v>
      </c>
      <c r="D172" s="332">
        <f>($L$16+SUM($K$16:K172))*C172</f>
        <v>382791.475238876</v>
      </c>
      <c r="E172" s="329">
        <f t="shared" si="47"/>
        <v>5.49053635500395</v>
      </c>
      <c r="F172" s="333">
        <f>($L$16+SUM($K$16:K172))*E172</f>
        <v>165415.310454928</v>
      </c>
      <c r="G172" s="329">
        <f t="shared" si="48"/>
        <v>3.59815305834072</v>
      </c>
      <c r="H172" s="332">
        <f>($L$16+SUM($K$16:K172))*G172</f>
        <v>108402.816542201</v>
      </c>
      <c r="I172" s="329">
        <f t="shared" si="49"/>
        <v>2.35308787119558</v>
      </c>
      <c r="J172" s="332">
        <f>($L$16+SUM($K$16:K172))*I172</f>
        <v>70892.3018762642</v>
      </c>
      <c r="K172" s="330">
        <v>0</v>
      </c>
      <c r="L172" s="330"/>
      <c r="M172" s="88"/>
      <c r="N172" s="88"/>
      <c r="O172" s="334"/>
      <c r="P172" s="88">
        <f t="shared" si="45"/>
        <v>1.35308787119558</v>
      </c>
      <c r="Q172" s="347"/>
      <c r="R172" s="343"/>
      <c r="S172" s="343"/>
      <c r="T172" s="364"/>
      <c r="U172" s="364"/>
    </row>
    <row r="173" spans="1:21">
      <c r="A173" s="118"/>
      <c r="B173" s="328">
        <v>87</v>
      </c>
      <c r="C173" s="329">
        <f t="shared" si="46"/>
        <v>13.0869532001998</v>
      </c>
      <c r="D173" s="332">
        <f>($L$16+SUM($K$16:K173))*C173</f>
        <v>394275.219496039</v>
      </c>
      <c r="E173" s="329">
        <f t="shared" si="47"/>
        <v>5.60034708210403</v>
      </c>
      <c r="F173" s="333">
        <f>($L$16+SUM($K$16:K173))*E173</f>
        <v>168723.616664027</v>
      </c>
      <c r="G173" s="329">
        <f t="shared" si="48"/>
        <v>3.65212535421583</v>
      </c>
      <c r="H173" s="332">
        <f>($L$16+SUM($K$16:K173))*G173</f>
        <v>110028.858790334</v>
      </c>
      <c r="I173" s="329">
        <f t="shared" si="49"/>
        <v>2.37661874990753</v>
      </c>
      <c r="J173" s="332">
        <f>($L$16+SUM($K$16:K173))*I173</f>
        <v>71601.2248950266</v>
      </c>
      <c r="K173" s="330">
        <v>0</v>
      </c>
      <c r="L173" s="330"/>
      <c r="M173" s="88"/>
      <c r="N173" s="88"/>
      <c r="O173" s="334"/>
      <c r="P173" s="88">
        <f t="shared" si="45"/>
        <v>1.37661874990753</v>
      </c>
      <c r="Q173" s="347"/>
      <c r="R173" s="343"/>
      <c r="S173" s="343"/>
      <c r="T173" s="364"/>
      <c r="U173" s="364"/>
    </row>
    <row r="174" spans="1:21">
      <c r="A174" s="118"/>
      <c r="B174" s="328">
        <v>88</v>
      </c>
      <c r="C174" s="329">
        <f t="shared" si="46"/>
        <v>13.4795617962058</v>
      </c>
      <c r="D174" s="332">
        <f>($L$16+SUM($K$16:K174))*C174</f>
        <v>406103.476080921</v>
      </c>
      <c r="E174" s="329">
        <f t="shared" si="47"/>
        <v>5.71235402374611</v>
      </c>
      <c r="F174" s="333">
        <f>($L$16+SUM($K$16:K174))*E174</f>
        <v>172098.088997307</v>
      </c>
      <c r="G174" s="329">
        <f t="shared" si="48"/>
        <v>3.70690723452907</v>
      </c>
      <c r="H174" s="332">
        <f>($L$16+SUM($K$16:K174))*G174</f>
        <v>111679.291672189</v>
      </c>
      <c r="I174" s="329">
        <f t="shared" si="49"/>
        <v>2.40038493740661</v>
      </c>
      <c r="J174" s="332">
        <f>($L$16+SUM($K$16:K174))*I174</f>
        <v>72317.237143977</v>
      </c>
      <c r="K174" s="330">
        <v>0</v>
      </c>
      <c r="L174" s="330"/>
      <c r="M174" s="88"/>
      <c r="N174" s="88"/>
      <c r="O174" s="334"/>
      <c r="P174" s="88">
        <f t="shared" si="45"/>
        <v>1.40038493740661</v>
      </c>
      <c r="Q174" s="347"/>
      <c r="R174" s="343"/>
      <c r="S174" s="343"/>
      <c r="T174" s="364"/>
      <c r="U174" s="364"/>
    </row>
    <row r="175" spans="1:21">
      <c r="A175" s="118"/>
      <c r="B175" s="328">
        <v>89</v>
      </c>
      <c r="C175" s="329">
        <f t="shared" si="46"/>
        <v>13.883948650092</v>
      </c>
      <c r="D175" s="332">
        <f>($L$16+SUM($K$16:K175))*C175</f>
        <v>418286.580363349</v>
      </c>
      <c r="E175" s="329">
        <f t="shared" si="47"/>
        <v>5.82660110422104</v>
      </c>
      <c r="F175" s="333">
        <f>($L$16+SUM($K$16:K175))*E175</f>
        <v>175540.050777254</v>
      </c>
      <c r="G175" s="329">
        <f t="shared" si="48"/>
        <v>3.76251084304701</v>
      </c>
      <c r="H175" s="332">
        <f>($L$16+SUM($K$16:K175))*G175</f>
        <v>113354.481047272</v>
      </c>
      <c r="I175" s="329">
        <f t="shared" si="49"/>
        <v>2.42438878678067</v>
      </c>
      <c r="J175" s="332">
        <f>($L$16+SUM($K$16:K175))*I175</f>
        <v>73040.4095154166</v>
      </c>
      <c r="K175" s="330">
        <v>0</v>
      </c>
      <c r="L175" s="330"/>
      <c r="M175" s="88"/>
      <c r="N175" s="88"/>
      <c r="O175" s="334"/>
      <c r="P175" s="88">
        <f t="shared" si="45"/>
        <v>1.42438878678067</v>
      </c>
      <c r="Q175" s="347"/>
      <c r="R175" s="343"/>
      <c r="S175" s="343"/>
      <c r="T175" s="364"/>
      <c r="U175" s="364"/>
    </row>
    <row r="176" spans="1:21">
      <c r="A176" s="118"/>
      <c r="B176" s="328">
        <v>90</v>
      </c>
      <c r="C176" s="329">
        <f t="shared" si="46"/>
        <v>14.3004671095948</v>
      </c>
      <c r="D176" s="332">
        <f>($L$16+SUM($K$16:K176))*C176</f>
        <v>430835.177774251</v>
      </c>
      <c r="E176" s="329">
        <f t="shared" si="47"/>
        <v>5.94313312630546</v>
      </c>
      <c r="F176" s="333">
        <f>($L$16+SUM($K$16:K176))*E176</f>
        <v>179050.851792799</v>
      </c>
      <c r="G176" s="329">
        <f t="shared" si="48"/>
        <v>3.81894850569271</v>
      </c>
      <c r="H176" s="332">
        <f>($L$16+SUM($K$16:K176))*G176</f>
        <v>115054.798262981</v>
      </c>
      <c r="I176" s="329">
        <f t="shared" si="49"/>
        <v>2.44863267464848</v>
      </c>
      <c r="J176" s="332">
        <f>($L$16+SUM($K$16:K176))*I176</f>
        <v>73770.8136105709</v>
      </c>
      <c r="K176" s="330">
        <v>0</v>
      </c>
      <c r="L176" s="330"/>
      <c r="M176" s="88"/>
      <c r="N176" s="88"/>
      <c r="O176" s="334"/>
      <c r="P176" s="88">
        <f t="shared" si="45"/>
        <v>1.44863267464848</v>
      </c>
      <c r="Q176" s="347"/>
      <c r="R176" s="343"/>
      <c r="S176" s="343"/>
      <c r="T176" s="364"/>
      <c r="U176" s="364"/>
    </row>
    <row r="177" spans="1:21">
      <c r="A177" s="118"/>
      <c r="B177" s="328">
        <v>91</v>
      </c>
      <c r="C177" s="329">
        <f t="shared" ref="C177:C185" si="50">POWER($C$87,B177)</f>
        <v>14.7294811228826</v>
      </c>
      <c r="D177" s="332">
        <f>($L$16+SUM($K$16:K177))*C177</f>
        <v>443760.233107477</v>
      </c>
      <c r="E177" s="329">
        <f t="shared" ref="E177:E185" si="51">POWER($E$87,B177)</f>
        <v>6.06199578883156</v>
      </c>
      <c r="F177" s="333">
        <f>($L$16+SUM($K$16:K177))*E177</f>
        <v>182631.868828654</v>
      </c>
      <c r="G177" s="329">
        <f t="shared" ref="G177:G185" si="52">POWER($G$87,B177)</f>
        <v>3.8762327332781</v>
      </c>
      <c r="H177" s="332">
        <f>($L$16+SUM($K$16:K177))*G177</f>
        <v>116780.620236926</v>
      </c>
      <c r="I177" s="329">
        <f t="shared" ref="I177:I185" si="53">POWER($I$87,B177)</f>
        <v>2.47311900139497</v>
      </c>
      <c r="J177" s="332">
        <f>($L$16+SUM($K$16:K177))*I177</f>
        <v>74508.5217466767</v>
      </c>
      <c r="K177" s="330">
        <v>0</v>
      </c>
      <c r="L177" s="330"/>
      <c r="M177" s="88"/>
      <c r="N177" s="88"/>
      <c r="O177" s="334"/>
      <c r="P177" s="88">
        <f t="shared" si="45"/>
        <v>1.47311900139497</v>
      </c>
      <c r="Q177" s="347"/>
      <c r="R177" s="343"/>
      <c r="S177" s="343"/>
      <c r="T177" s="364"/>
      <c r="U177" s="364"/>
    </row>
    <row r="178" spans="1:21">
      <c r="A178" s="118"/>
      <c r="B178" s="328">
        <v>92</v>
      </c>
      <c r="C178" s="329">
        <f t="shared" si="50"/>
        <v>15.1713655565691</v>
      </c>
      <c r="D178" s="332">
        <f>($L$16+SUM($K$16:K178))*C178</f>
        <v>457073.040100702</v>
      </c>
      <c r="E178" s="329">
        <f t="shared" si="51"/>
        <v>6.1832357046082</v>
      </c>
      <c r="F178" s="333">
        <f>($L$16+SUM($K$16:K178))*E178</f>
        <v>186284.506205228</v>
      </c>
      <c r="G178" s="329">
        <f t="shared" si="52"/>
        <v>3.93437622427727</v>
      </c>
      <c r="H178" s="332">
        <f>($L$16+SUM($K$16:K178))*G178</f>
        <v>118532.32954048</v>
      </c>
      <c r="I178" s="329">
        <f t="shared" si="53"/>
        <v>2.49785019140892</v>
      </c>
      <c r="J178" s="332">
        <f>($L$16+SUM($K$16:K178))*I178</f>
        <v>75253.6069641435</v>
      </c>
      <c r="K178" s="330">
        <v>0</v>
      </c>
      <c r="L178" s="330"/>
      <c r="M178" s="88"/>
      <c r="N178" s="88"/>
      <c r="O178" s="334"/>
      <c r="P178" s="88">
        <f t="shared" si="45"/>
        <v>1.49785019140892</v>
      </c>
      <c r="Q178" s="347"/>
      <c r="R178" s="343"/>
      <c r="S178" s="343"/>
      <c r="T178" s="364"/>
      <c r="U178" s="364"/>
    </row>
    <row r="179" spans="1:21">
      <c r="A179" s="118"/>
      <c r="B179" s="328">
        <v>93</v>
      </c>
      <c r="C179" s="329">
        <f t="shared" si="50"/>
        <v>15.6265065232662</v>
      </c>
      <c r="D179" s="332">
        <f>($L$16+SUM($K$16:K179))*C179</f>
        <v>470785.231303724</v>
      </c>
      <c r="E179" s="329">
        <f t="shared" si="51"/>
        <v>6.30690041870036</v>
      </c>
      <c r="F179" s="333">
        <f>($L$16+SUM($K$16:K179))*E179</f>
        <v>190010.196329332</v>
      </c>
      <c r="G179" s="329">
        <f t="shared" si="52"/>
        <v>3.99339186764143</v>
      </c>
      <c r="H179" s="332">
        <f>($L$16+SUM($K$16:K179))*G179</f>
        <v>120310.314483587</v>
      </c>
      <c r="I179" s="329">
        <f t="shared" si="53"/>
        <v>2.52282869332301</v>
      </c>
      <c r="J179" s="332">
        <f>($L$16+SUM($K$16:K179))*I179</f>
        <v>76006.143033785</v>
      </c>
      <c r="K179" s="330">
        <v>0</v>
      </c>
      <c r="L179" s="330"/>
      <c r="M179" s="88"/>
      <c r="N179" s="88"/>
      <c r="O179" s="334"/>
      <c r="P179" s="88">
        <f t="shared" si="45"/>
        <v>1.52282869332301</v>
      </c>
      <c r="Q179" s="347"/>
      <c r="R179" s="343"/>
      <c r="S179" s="343"/>
      <c r="T179" s="364"/>
      <c r="U179" s="364"/>
    </row>
    <row r="180" spans="1:21">
      <c r="A180" s="118"/>
      <c r="B180" s="328">
        <v>94</v>
      </c>
      <c r="C180" s="329">
        <f t="shared" si="50"/>
        <v>16.0953017189641</v>
      </c>
      <c r="D180" s="332">
        <f>($L$16+SUM($K$16:K180))*C180</f>
        <v>484908.788242833</v>
      </c>
      <c r="E180" s="329">
        <f t="shared" si="51"/>
        <v>6.43303842707437</v>
      </c>
      <c r="F180" s="333">
        <f>($L$16+SUM($K$16:K180))*E180</f>
        <v>193810.400255919</v>
      </c>
      <c r="G180" s="329">
        <f t="shared" si="52"/>
        <v>4.05329274565605</v>
      </c>
      <c r="H180" s="332">
        <f>($L$16+SUM($K$16:K180))*G180</f>
        <v>122114.969200841</v>
      </c>
      <c r="I180" s="329">
        <f t="shared" si="53"/>
        <v>2.54805698025624</v>
      </c>
      <c r="J180" s="332">
        <f>($L$16+SUM($K$16:K180))*I180</f>
        <v>76766.2044641228</v>
      </c>
      <c r="K180" s="330">
        <v>0</v>
      </c>
      <c r="L180" s="330"/>
      <c r="M180" s="88"/>
      <c r="N180" s="88"/>
      <c r="O180" s="334"/>
      <c r="P180" s="88">
        <f t="shared" si="45"/>
        <v>1.54805698025624</v>
      </c>
      <c r="Q180" s="347"/>
      <c r="R180" s="343"/>
      <c r="S180" s="343"/>
      <c r="T180" s="364"/>
      <c r="U180" s="364"/>
    </row>
    <row r="181" spans="1:21">
      <c r="A181" s="118"/>
      <c r="B181" s="328">
        <v>95</v>
      </c>
      <c r="C181" s="329">
        <f t="shared" si="50"/>
        <v>16.5781607705331</v>
      </c>
      <c r="D181" s="332">
        <f>($L$16+SUM($K$16:K181))*C181</f>
        <v>499456.05189012</v>
      </c>
      <c r="E181" s="329">
        <f t="shared" si="51"/>
        <v>6.56169919561586</v>
      </c>
      <c r="F181" s="333">
        <f>($L$16+SUM($K$16:K181))*E181</f>
        <v>197686.608261037</v>
      </c>
      <c r="G181" s="329">
        <f t="shared" si="52"/>
        <v>4.11409213684089</v>
      </c>
      <c r="H181" s="332">
        <f>($L$16+SUM($K$16:K181))*G181</f>
        <v>123946.693738853</v>
      </c>
      <c r="I181" s="329">
        <f t="shared" si="53"/>
        <v>2.5735375500588</v>
      </c>
      <c r="J181" s="332">
        <f>($L$16+SUM($K$16:K181))*I181</f>
        <v>77533.866508764</v>
      </c>
      <c r="K181" s="330">
        <v>0</v>
      </c>
      <c r="L181" s="330"/>
      <c r="M181" s="88"/>
      <c r="N181" s="88"/>
      <c r="O181" s="334"/>
      <c r="P181" s="88">
        <f t="shared" si="45"/>
        <v>1.5735375500588</v>
      </c>
      <c r="Q181" s="347"/>
      <c r="R181" s="343"/>
      <c r="S181" s="343"/>
      <c r="T181" s="364"/>
      <c r="U181" s="364"/>
    </row>
    <row r="182" spans="1:21">
      <c r="A182" s="118"/>
      <c r="B182" s="328">
        <v>96</v>
      </c>
      <c r="C182" s="329">
        <f t="shared" si="50"/>
        <v>17.0755055936491</v>
      </c>
      <c r="D182" s="332">
        <f>($L$16+SUM($K$16:K182))*C182</f>
        <v>514439.733446824</v>
      </c>
      <c r="E182" s="329">
        <f t="shared" si="51"/>
        <v>6.69293317952817</v>
      </c>
      <c r="F182" s="333">
        <f>($L$16+SUM($K$16:K182))*E182</f>
        <v>201640.340426258</v>
      </c>
      <c r="G182" s="329">
        <f t="shared" si="52"/>
        <v>4.1758035188935</v>
      </c>
      <c r="H182" s="332">
        <f>($L$16+SUM($K$16:K182))*G182</f>
        <v>125805.894144936</v>
      </c>
      <c r="I182" s="329">
        <f t="shared" si="53"/>
        <v>2.59927292555939</v>
      </c>
      <c r="J182" s="332">
        <f>($L$16+SUM($K$16:K182))*I182</f>
        <v>78309.2051738517</v>
      </c>
      <c r="K182" s="330">
        <v>0</v>
      </c>
      <c r="L182" s="330"/>
      <c r="M182" s="88"/>
      <c r="N182" s="88"/>
      <c r="O182" s="334"/>
      <c r="P182" s="88">
        <f t="shared" si="45"/>
        <v>1.59927292555939</v>
      </c>
      <c r="Q182" s="347"/>
      <c r="R182" s="343"/>
      <c r="S182" s="343"/>
      <c r="T182" s="364"/>
      <c r="U182" s="364"/>
    </row>
    <row r="183" spans="1:21">
      <c r="A183" s="118"/>
      <c r="B183" s="328">
        <v>97</v>
      </c>
      <c r="C183" s="329">
        <f t="shared" si="50"/>
        <v>17.5877707614585</v>
      </c>
      <c r="D183" s="332">
        <f>($L$16+SUM($K$16:K183))*C183</f>
        <v>529872.925450227</v>
      </c>
      <c r="E183" s="329">
        <f t="shared" si="51"/>
        <v>6.82679184311874</v>
      </c>
      <c r="F183" s="333">
        <f>($L$16+SUM($K$16:K183))*E183</f>
        <v>205673.147234783</v>
      </c>
      <c r="G183" s="329">
        <f t="shared" si="52"/>
        <v>4.23844057167691</v>
      </c>
      <c r="H183" s="332">
        <f>($L$16+SUM($K$16:K183))*G183</f>
        <v>127692.98255711</v>
      </c>
      <c r="I183" s="329">
        <f t="shared" si="53"/>
        <v>2.62526565481498</v>
      </c>
      <c r="J183" s="332">
        <f>($L$16+SUM($K$16:K183))*I183</f>
        <v>79092.2972255901</v>
      </c>
      <c r="K183" s="330">
        <v>0</v>
      </c>
      <c r="L183" s="330"/>
      <c r="M183" s="88"/>
      <c r="N183" s="88"/>
      <c r="O183" s="334"/>
      <c r="P183" s="88">
        <f t="shared" si="45"/>
        <v>1.62526565481498</v>
      </c>
      <c r="Q183" s="347"/>
      <c r="R183" s="343"/>
      <c r="S183" s="343"/>
      <c r="T183" s="364"/>
      <c r="U183" s="364"/>
    </row>
    <row r="184" spans="1:21">
      <c r="A184" s="118"/>
      <c r="B184" s="328">
        <v>98</v>
      </c>
      <c r="C184" s="329">
        <f t="shared" si="50"/>
        <v>18.1154038843023</v>
      </c>
      <c r="D184" s="332">
        <f>($L$16+SUM($K$16:K184))*C184</f>
        <v>545769.113213735</v>
      </c>
      <c r="E184" s="329">
        <f t="shared" si="51"/>
        <v>6.96332767998111</v>
      </c>
      <c r="F184" s="333">
        <f>($L$16+SUM($K$16:K184))*E184</f>
        <v>209786.610179479</v>
      </c>
      <c r="G184" s="329">
        <f t="shared" si="52"/>
        <v>4.30201718025206</v>
      </c>
      <c r="H184" s="332">
        <f>($L$16+SUM($K$16:K184))*G184</f>
        <v>129608.377295467</v>
      </c>
      <c r="I184" s="329">
        <f t="shared" si="53"/>
        <v>2.65151831136313</v>
      </c>
      <c r="J184" s="332">
        <f>($L$16+SUM($K$16:K184))*I184</f>
        <v>79883.220197846</v>
      </c>
      <c r="K184" s="330">
        <v>0</v>
      </c>
      <c r="L184" s="330"/>
      <c r="M184" s="88"/>
      <c r="N184" s="88"/>
      <c r="O184" s="334"/>
      <c r="P184" s="88">
        <f t="shared" si="45"/>
        <v>1.65151831136313</v>
      </c>
      <c r="Q184" s="347"/>
      <c r="R184" s="343"/>
      <c r="S184" s="343"/>
      <c r="T184" s="364"/>
      <c r="U184" s="364"/>
    </row>
    <row r="185" spans="1:21">
      <c r="A185" s="118"/>
      <c r="B185" s="328">
        <v>99</v>
      </c>
      <c r="C185" s="329">
        <f t="shared" si="50"/>
        <v>18.6588660008314</v>
      </c>
      <c r="D185" s="332">
        <f>($L$16+SUM($K$16:K185))*C185</f>
        <v>562142.186610148</v>
      </c>
      <c r="E185" s="329">
        <f t="shared" si="51"/>
        <v>7.10259423358073</v>
      </c>
      <c r="F185" s="333">
        <f>($L$16+SUM($K$16:K185))*E185</f>
        <v>213982.342383068</v>
      </c>
      <c r="G185" s="329">
        <f t="shared" si="52"/>
        <v>4.36654743795584</v>
      </c>
      <c r="H185" s="332">
        <f>($L$16+SUM($K$16:K185))*G185</f>
        <v>131552.502954899</v>
      </c>
      <c r="I185" s="329">
        <f t="shared" si="53"/>
        <v>2.67803349447676</v>
      </c>
      <c r="J185" s="332">
        <f>($L$16+SUM($K$16:K185))*I185</f>
        <v>80682.0523998244</v>
      </c>
      <c r="K185" s="330">
        <v>0</v>
      </c>
      <c r="L185" s="330"/>
      <c r="M185" s="88"/>
      <c r="N185" s="88"/>
      <c r="O185" s="334"/>
      <c r="P185" s="88">
        <f t="shared" si="45"/>
        <v>1.67803349447676</v>
      </c>
      <c r="Q185" s="347"/>
      <c r="R185" s="343"/>
      <c r="S185" s="343"/>
      <c r="T185" s="364"/>
      <c r="U185" s="364"/>
    </row>
    <row r="186" spans="12:15">
      <c r="L186" s="311"/>
      <c r="M186" s="309"/>
      <c r="O186" s="363"/>
    </row>
    <row r="187" spans="12:15">
      <c r="L187" s="311"/>
      <c r="M187" s="309"/>
      <c r="O187" s="363"/>
    </row>
    <row r="188" spans="12:15">
      <c r="L188" s="311"/>
      <c r="M188" s="309"/>
      <c r="O188" s="363"/>
    </row>
    <row r="189" spans="12:15">
      <c r="L189" s="311"/>
      <c r="M189" s="309"/>
      <c r="O189" s="363"/>
    </row>
    <row r="190" spans="12:15">
      <c r="L190" s="311"/>
      <c r="M190" s="309"/>
      <c r="O190" s="363"/>
    </row>
    <row r="191" spans="12:15">
      <c r="L191" s="311"/>
      <c r="M191" s="309"/>
      <c r="O191" s="363"/>
    </row>
    <row r="192" spans="12:15">
      <c r="L192" s="311"/>
      <c r="M192" s="309"/>
      <c r="O192" s="363"/>
    </row>
    <row r="193" spans="12:15">
      <c r="L193" s="311"/>
      <c r="M193" s="309"/>
      <c r="O193" s="363"/>
    </row>
    <row r="194" spans="12:15">
      <c r="L194" s="311"/>
      <c r="M194" s="309"/>
      <c r="O194" s="363"/>
    </row>
    <row r="195" spans="12:15">
      <c r="L195" s="311"/>
      <c r="M195" s="309"/>
      <c r="O195" s="363"/>
    </row>
    <row r="196" spans="12:15">
      <c r="L196" s="311"/>
      <c r="M196" s="309"/>
      <c r="O196" s="363"/>
    </row>
    <row r="197" spans="12:15">
      <c r="L197" s="311"/>
      <c r="M197" s="309"/>
      <c r="O197" s="363"/>
    </row>
    <row r="198" spans="12:15">
      <c r="L198" s="311"/>
      <c r="M198" s="309"/>
      <c r="O198" s="363"/>
    </row>
    <row r="199" spans="12:15">
      <c r="L199" s="311"/>
      <c r="M199" s="309"/>
      <c r="O199" s="363"/>
    </row>
    <row r="200" spans="12:15">
      <c r="L200" s="311"/>
      <c r="M200" s="309"/>
      <c r="O200" s="363"/>
    </row>
    <row r="201" spans="12:15">
      <c r="L201" s="311"/>
      <c r="M201" s="309"/>
      <c r="O201" s="363"/>
    </row>
    <row r="202" spans="12:15">
      <c r="L202" s="311"/>
      <c r="M202" s="309"/>
      <c r="O202" s="363"/>
    </row>
    <row r="203" spans="12:15">
      <c r="L203" s="311"/>
      <c r="M203" s="309"/>
      <c r="O203" s="363"/>
    </row>
    <row r="204" spans="12:15">
      <c r="L204" s="311"/>
      <c r="M204" s="309"/>
      <c r="O204" s="363"/>
    </row>
    <row r="205" spans="12:15">
      <c r="L205" s="311"/>
      <c r="M205" s="309"/>
      <c r="O205" s="363"/>
    </row>
    <row r="206" spans="12:15">
      <c r="L206" s="311"/>
      <c r="M206" s="309"/>
      <c r="O206" s="363"/>
    </row>
    <row r="207" spans="12:15">
      <c r="L207" s="311"/>
      <c r="M207" s="309"/>
      <c r="O207" s="363"/>
    </row>
    <row r="208" spans="12:15">
      <c r="L208" s="311"/>
      <c r="M208" s="309"/>
      <c r="O208" s="363"/>
    </row>
    <row r="209" spans="12:15">
      <c r="L209" s="311"/>
      <c r="M209" s="309"/>
      <c r="O209" s="363"/>
    </row>
    <row r="210" spans="12:15">
      <c r="L210" s="311"/>
      <c r="M210" s="309"/>
      <c r="O210" s="363"/>
    </row>
    <row r="211" spans="12:15">
      <c r="L211" s="311"/>
      <c r="M211" s="309"/>
      <c r="O211" s="363"/>
    </row>
    <row r="212" spans="12:15">
      <c r="L212" s="311"/>
      <c r="M212" s="309"/>
      <c r="O212" s="363"/>
    </row>
    <row r="213" spans="12:15">
      <c r="L213" s="311"/>
      <c r="M213" s="309"/>
      <c r="O213" s="363"/>
    </row>
    <row r="214" spans="12:15">
      <c r="L214" s="311"/>
      <c r="M214" s="309"/>
      <c r="O214" s="363"/>
    </row>
    <row r="215" spans="12:15">
      <c r="L215" s="311"/>
      <c r="M215" s="309"/>
      <c r="O215" s="363"/>
    </row>
    <row r="216" spans="12:15">
      <c r="L216" s="311"/>
      <c r="M216" s="309"/>
      <c r="O216" s="363"/>
    </row>
    <row r="217" spans="12:15">
      <c r="L217" s="311"/>
      <c r="M217" s="309"/>
      <c r="O217" s="363"/>
    </row>
    <row r="218" spans="12:15">
      <c r="L218" s="311"/>
      <c r="M218" s="309"/>
      <c r="O218" s="363"/>
    </row>
    <row r="219" spans="12:15">
      <c r="L219" s="311"/>
      <c r="M219" s="309"/>
      <c r="O219" s="363"/>
    </row>
    <row r="220" spans="12:15">
      <c r="L220" s="311"/>
      <c r="M220" s="309"/>
      <c r="O220" s="363"/>
    </row>
    <row r="221" spans="12:15">
      <c r="L221" s="311"/>
      <c r="M221" s="309"/>
      <c r="O221" s="363"/>
    </row>
    <row r="222" spans="12:15">
      <c r="L222" s="311"/>
      <c r="M222" s="309"/>
      <c r="O222" s="363"/>
    </row>
    <row r="223" spans="12:15">
      <c r="L223" s="311"/>
      <c r="M223" s="309"/>
      <c r="O223" s="363"/>
    </row>
    <row r="224" spans="12:15">
      <c r="L224" s="311"/>
      <c r="M224" s="309"/>
      <c r="O224" s="363"/>
    </row>
    <row r="225" spans="12:15">
      <c r="L225" s="311"/>
      <c r="M225" s="309"/>
      <c r="O225" s="363"/>
    </row>
    <row r="226" spans="12:15">
      <c r="L226" s="311"/>
      <c r="M226" s="309"/>
      <c r="O226" s="363"/>
    </row>
    <row r="227" spans="12:15">
      <c r="L227" s="311"/>
      <c r="M227" s="309"/>
      <c r="O227" s="363"/>
    </row>
    <row r="228" spans="12:15">
      <c r="L228" s="311"/>
      <c r="M228" s="309"/>
      <c r="O228" s="363"/>
    </row>
    <row r="229" spans="12:15">
      <c r="L229" s="311"/>
      <c r="M229" s="309"/>
      <c r="O229" s="363"/>
    </row>
    <row r="230" spans="12:15">
      <c r="L230" s="311"/>
      <c r="M230" s="309"/>
      <c r="O230" s="363"/>
    </row>
    <row r="231" spans="12:15">
      <c r="L231" s="311"/>
      <c r="M231" s="309"/>
      <c r="O231" s="363"/>
    </row>
    <row r="232" spans="12:15">
      <c r="L232" s="311"/>
      <c r="M232" s="309"/>
      <c r="O232" s="363"/>
    </row>
    <row r="233" spans="12:15">
      <c r="L233" s="311"/>
      <c r="M233" s="309"/>
      <c r="O233" s="363"/>
    </row>
    <row r="234" spans="12:15">
      <c r="L234" s="311"/>
      <c r="M234" s="309"/>
      <c r="O234" s="363"/>
    </row>
    <row r="235" spans="12:15">
      <c r="L235" s="311"/>
      <c r="M235" s="309"/>
      <c r="O235" s="363"/>
    </row>
    <row r="236" spans="12:15">
      <c r="L236" s="311"/>
      <c r="M236" s="309"/>
      <c r="O236" s="363"/>
    </row>
    <row r="237" spans="12:15">
      <c r="L237" s="311"/>
      <c r="M237" s="309"/>
      <c r="O237" s="363"/>
    </row>
    <row r="238" spans="12:15">
      <c r="L238" s="311"/>
      <c r="M238" s="309"/>
      <c r="O238" s="363"/>
    </row>
    <row r="239" spans="12:15">
      <c r="L239" s="311"/>
      <c r="M239" s="309"/>
      <c r="O239" s="363"/>
    </row>
    <row r="240" spans="12:15">
      <c r="L240" s="311"/>
      <c r="M240" s="309"/>
      <c r="O240" s="363"/>
    </row>
    <row r="241" spans="12:15">
      <c r="L241" s="311"/>
      <c r="M241" s="309"/>
      <c r="O241" s="363"/>
    </row>
    <row r="242" spans="12:15">
      <c r="L242" s="311"/>
      <c r="M242" s="309"/>
      <c r="O242" s="363"/>
    </row>
    <row r="243" spans="12:15">
      <c r="L243" s="311"/>
      <c r="M243" s="309"/>
      <c r="O243" s="363"/>
    </row>
    <row r="244" spans="12:15">
      <c r="L244" s="311"/>
      <c r="M244" s="309"/>
      <c r="O244" s="363"/>
    </row>
    <row r="245" spans="12:15">
      <c r="L245" s="311"/>
      <c r="M245" s="309"/>
      <c r="O245" s="363"/>
    </row>
    <row r="246" spans="12:15">
      <c r="L246" s="311"/>
      <c r="M246" s="309"/>
      <c r="O246" s="363"/>
    </row>
    <row r="247" spans="12:15">
      <c r="L247" s="311"/>
      <c r="M247" s="309"/>
      <c r="O247" s="363"/>
    </row>
    <row r="248" spans="12:15">
      <c r="L248" s="311"/>
      <c r="M248" s="309"/>
      <c r="O248" s="363"/>
    </row>
    <row r="249" spans="12:15">
      <c r="L249" s="311"/>
      <c r="M249" s="309"/>
      <c r="O249" s="363"/>
    </row>
    <row r="250" spans="12:15">
      <c r="L250" s="311"/>
      <c r="M250" s="309"/>
      <c r="O250" s="363"/>
    </row>
    <row r="251" spans="12:15">
      <c r="L251" s="311"/>
      <c r="M251" s="309"/>
      <c r="O251" s="363"/>
    </row>
    <row r="252" spans="12:15">
      <c r="L252" s="311"/>
      <c r="M252" s="309"/>
      <c r="O252" s="363"/>
    </row>
    <row r="253" spans="12:15">
      <c r="L253" s="311"/>
      <c r="M253" s="309"/>
      <c r="O253" s="363"/>
    </row>
    <row r="254" spans="12:15">
      <c r="L254" s="311"/>
      <c r="M254" s="309"/>
      <c r="O254" s="363"/>
    </row>
    <row r="255" spans="12:15">
      <c r="L255" s="311"/>
      <c r="M255" s="309"/>
      <c r="O255" s="363"/>
    </row>
    <row r="256" spans="12:15">
      <c r="L256" s="311"/>
      <c r="M256" s="309"/>
      <c r="O256" s="363"/>
    </row>
    <row r="257" spans="12:15">
      <c r="L257" s="311"/>
      <c r="M257" s="309"/>
      <c r="O257" s="363"/>
    </row>
    <row r="258" spans="12:15">
      <c r="L258" s="311"/>
      <c r="M258" s="309"/>
      <c r="O258" s="363"/>
    </row>
    <row r="259" spans="12:15">
      <c r="L259" s="311"/>
      <c r="M259" s="309"/>
      <c r="O259" s="363"/>
    </row>
    <row r="260" spans="12:15">
      <c r="L260" s="311"/>
      <c r="M260" s="309"/>
      <c r="O260" s="363"/>
    </row>
    <row r="261" spans="12:15">
      <c r="L261" s="311"/>
      <c r="M261" s="309"/>
      <c r="O261" s="363"/>
    </row>
    <row r="262" spans="12:15">
      <c r="L262" s="311"/>
      <c r="M262" s="309"/>
      <c r="O262" s="363"/>
    </row>
    <row r="263" spans="12:15">
      <c r="L263" s="311"/>
      <c r="M263" s="309"/>
      <c r="O263" s="363"/>
    </row>
    <row r="264" spans="12:15">
      <c r="L264" s="311"/>
      <c r="M264" s="309"/>
      <c r="O264" s="363"/>
    </row>
    <row r="265" spans="12:15">
      <c r="L265" s="311"/>
      <c r="M265" s="309"/>
      <c r="O265" s="363"/>
    </row>
    <row r="266" spans="12:15">
      <c r="L266" s="311"/>
      <c r="M266" s="309"/>
      <c r="O266" s="363"/>
    </row>
    <row r="267" spans="12:15">
      <c r="L267" s="311"/>
      <c r="M267" s="309"/>
      <c r="O267" s="363"/>
    </row>
    <row r="268" spans="12:15">
      <c r="L268" s="311"/>
      <c r="M268" s="309"/>
      <c r="O268" s="363"/>
    </row>
    <row r="269" spans="12:15">
      <c r="L269" s="311"/>
      <c r="M269" s="309"/>
      <c r="O269" s="363"/>
    </row>
    <row r="270" spans="12:15">
      <c r="L270" s="311"/>
      <c r="M270" s="309"/>
      <c r="O270" s="363"/>
    </row>
    <row r="271" spans="12:15">
      <c r="L271" s="311"/>
      <c r="M271" s="309"/>
      <c r="O271" s="363"/>
    </row>
    <row r="272" spans="12:15">
      <c r="L272" s="311"/>
      <c r="M272" s="309"/>
      <c r="O272" s="363"/>
    </row>
    <row r="273" spans="12:15">
      <c r="L273" s="311"/>
      <c r="M273" s="309"/>
      <c r="O273" s="363"/>
    </row>
    <row r="274" spans="12:15">
      <c r="L274" s="311"/>
      <c r="M274" s="309"/>
      <c r="O274" s="363"/>
    </row>
    <row r="275" spans="12:15">
      <c r="L275" s="311"/>
      <c r="M275" s="309"/>
      <c r="O275" s="363"/>
    </row>
    <row r="276" spans="12:15">
      <c r="L276" s="311"/>
      <c r="M276" s="309"/>
      <c r="O276" s="363"/>
    </row>
    <row r="277" spans="12:15">
      <c r="L277" s="311"/>
      <c r="M277" s="309"/>
      <c r="O277" s="363"/>
    </row>
    <row r="278" spans="12:15">
      <c r="L278" s="311"/>
      <c r="M278" s="309"/>
      <c r="O278" s="363"/>
    </row>
    <row r="279" spans="12:15">
      <c r="L279" s="311"/>
      <c r="M279" s="309"/>
      <c r="O279" s="363"/>
    </row>
    <row r="280" spans="12:15">
      <c r="L280" s="311"/>
      <c r="M280" s="309"/>
      <c r="O280" s="363"/>
    </row>
    <row r="281" spans="12:15">
      <c r="L281" s="311"/>
      <c r="M281" s="309"/>
      <c r="O281" s="363"/>
    </row>
    <row r="282" spans="12:15">
      <c r="L282" s="311"/>
      <c r="M282" s="309"/>
      <c r="O282" s="363"/>
    </row>
    <row r="283" spans="12:15">
      <c r="L283" s="311"/>
      <c r="M283" s="309"/>
      <c r="O283" s="363"/>
    </row>
    <row r="284" spans="12:15">
      <c r="L284" s="311"/>
      <c r="M284" s="309"/>
      <c r="O284" s="363"/>
    </row>
    <row r="285" spans="12:15">
      <c r="L285" s="311"/>
      <c r="M285" s="309"/>
      <c r="O285" s="363"/>
    </row>
    <row r="286" spans="12:15">
      <c r="L286" s="311"/>
      <c r="M286" s="309"/>
      <c r="O286" s="363"/>
    </row>
    <row r="287" spans="12:15">
      <c r="L287" s="311"/>
      <c r="M287" s="309"/>
      <c r="O287" s="363"/>
    </row>
    <row r="288" spans="12:15">
      <c r="L288" s="311"/>
      <c r="M288" s="309"/>
      <c r="O288" s="363"/>
    </row>
    <row r="289" spans="12:15">
      <c r="L289" s="311"/>
      <c r="M289" s="309"/>
      <c r="O289" s="363"/>
    </row>
    <row r="290" spans="12:15">
      <c r="L290" s="311"/>
      <c r="M290" s="309"/>
      <c r="O290" s="363"/>
    </row>
    <row r="291" spans="12:15">
      <c r="L291" s="311"/>
      <c r="M291" s="309"/>
      <c r="O291" s="363"/>
    </row>
    <row r="292" spans="12:15">
      <c r="L292" s="311"/>
      <c r="M292" s="309"/>
      <c r="O292" s="363"/>
    </row>
    <row r="293" spans="12:15">
      <c r="L293" s="311"/>
      <c r="M293" s="309"/>
      <c r="O293" s="363"/>
    </row>
    <row r="294" spans="12:15">
      <c r="L294" s="311"/>
      <c r="M294" s="309"/>
      <c r="O294" s="363"/>
    </row>
    <row r="295" spans="12:15">
      <c r="L295" s="311"/>
      <c r="M295" s="309"/>
      <c r="O295" s="363"/>
    </row>
    <row r="296" spans="12:15">
      <c r="L296" s="311"/>
      <c r="M296" s="309"/>
      <c r="O296" s="363"/>
    </row>
    <row r="297" spans="12:15">
      <c r="L297" s="311"/>
      <c r="M297" s="309"/>
      <c r="O297" s="363"/>
    </row>
    <row r="298" spans="12:15">
      <c r="L298" s="311"/>
      <c r="M298" s="309"/>
      <c r="O298" s="363"/>
    </row>
    <row r="299" spans="12:15">
      <c r="L299" s="311"/>
      <c r="M299" s="309"/>
      <c r="O299" s="363"/>
    </row>
    <row r="300" spans="12:15">
      <c r="L300" s="311"/>
      <c r="M300" s="309"/>
      <c r="O300" s="363"/>
    </row>
    <row r="301" spans="12:15">
      <c r="L301" s="311"/>
      <c r="M301" s="309"/>
      <c r="O301" s="363"/>
    </row>
    <row r="302" spans="12:15">
      <c r="L302" s="311"/>
      <c r="M302" s="309"/>
      <c r="O302" s="363"/>
    </row>
    <row r="303" spans="12:15">
      <c r="L303" s="311"/>
      <c r="M303" s="309"/>
      <c r="O303" s="363"/>
    </row>
    <row r="304" spans="12:15">
      <c r="L304" s="311"/>
      <c r="M304" s="309"/>
      <c r="O304" s="363"/>
    </row>
    <row r="305" spans="12:15">
      <c r="L305" s="311"/>
      <c r="M305" s="309"/>
      <c r="O305" s="363"/>
    </row>
    <row r="306" spans="12:15">
      <c r="L306" s="311"/>
      <c r="M306" s="309"/>
      <c r="O306" s="363"/>
    </row>
    <row r="307" spans="12:15">
      <c r="L307" s="311"/>
      <c r="M307" s="309"/>
      <c r="O307" s="363"/>
    </row>
    <row r="308" spans="12:15">
      <c r="L308" s="311"/>
      <c r="M308" s="309"/>
      <c r="O308" s="363"/>
    </row>
    <row r="309" spans="12:15">
      <c r="L309" s="311"/>
      <c r="M309" s="309"/>
      <c r="O309" s="363"/>
    </row>
    <row r="310" spans="12:15">
      <c r="L310" s="311"/>
      <c r="M310" s="309"/>
      <c r="O310" s="363"/>
    </row>
    <row r="311" spans="12:15">
      <c r="L311" s="311"/>
      <c r="M311" s="309"/>
      <c r="O311" s="363"/>
    </row>
    <row r="312" spans="12:15">
      <c r="L312" s="311"/>
      <c r="M312" s="309"/>
      <c r="O312" s="363"/>
    </row>
    <row r="313" spans="12:15">
      <c r="L313" s="311"/>
      <c r="M313" s="309"/>
      <c r="O313" s="363"/>
    </row>
    <row r="314" spans="12:15">
      <c r="L314" s="311"/>
      <c r="M314" s="309"/>
      <c r="O314" s="363"/>
    </row>
    <row r="315" spans="12:15">
      <c r="L315" s="311"/>
      <c r="M315" s="309"/>
      <c r="O315" s="363"/>
    </row>
    <row r="316" spans="12:15">
      <c r="L316" s="311"/>
      <c r="M316" s="309"/>
      <c r="O316" s="363"/>
    </row>
    <row r="317" spans="12:15">
      <c r="L317" s="311"/>
      <c r="M317" s="309"/>
      <c r="O317" s="363"/>
    </row>
    <row r="318" spans="12:15">
      <c r="L318" s="311"/>
      <c r="M318" s="309"/>
      <c r="O318" s="363"/>
    </row>
    <row r="319" spans="12:15">
      <c r="L319" s="311"/>
      <c r="M319" s="309"/>
      <c r="O319" s="363"/>
    </row>
    <row r="320" spans="12:15">
      <c r="L320" s="311"/>
      <c r="M320" s="309"/>
      <c r="O320" s="363"/>
    </row>
    <row r="321" spans="12:15">
      <c r="L321" s="311"/>
      <c r="M321" s="309"/>
      <c r="O321" s="363"/>
    </row>
    <row r="322" spans="12:15">
      <c r="L322" s="311"/>
      <c r="M322" s="309"/>
      <c r="O322" s="363"/>
    </row>
    <row r="323" spans="12:15">
      <c r="L323" s="311"/>
      <c r="M323" s="309"/>
      <c r="O323" s="363"/>
    </row>
    <row r="324" spans="12:15">
      <c r="L324" s="311"/>
      <c r="M324" s="309"/>
      <c r="O324" s="363"/>
    </row>
    <row r="325" spans="12:15">
      <c r="L325" s="311"/>
      <c r="M325" s="309"/>
      <c r="O325" s="363"/>
    </row>
    <row r="326" spans="12:15">
      <c r="L326" s="311"/>
      <c r="M326" s="309"/>
      <c r="O326" s="363"/>
    </row>
    <row r="327" spans="12:15">
      <c r="L327" s="311"/>
      <c r="M327" s="309"/>
      <c r="O327" s="363"/>
    </row>
    <row r="328" spans="12:15">
      <c r="L328" s="311"/>
      <c r="M328" s="309"/>
      <c r="O328" s="363"/>
    </row>
    <row r="329" spans="12:15">
      <c r="L329" s="311"/>
      <c r="M329" s="309"/>
      <c r="O329" s="363"/>
    </row>
    <row r="330" spans="12:15">
      <c r="L330" s="311"/>
      <c r="M330" s="309"/>
      <c r="O330" s="363"/>
    </row>
    <row r="331" spans="12:15">
      <c r="L331" s="311"/>
      <c r="M331" s="309"/>
      <c r="O331" s="363"/>
    </row>
    <row r="332" spans="12:15">
      <c r="L332" s="311"/>
      <c r="M332" s="309"/>
      <c r="O332" s="363"/>
    </row>
    <row r="333" spans="12:15">
      <c r="L333" s="311"/>
      <c r="M333" s="309"/>
      <c r="O333" s="363"/>
    </row>
    <row r="334" spans="12:15">
      <c r="L334" s="311"/>
      <c r="M334" s="309"/>
      <c r="O334" s="363"/>
    </row>
    <row r="335" spans="12:15">
      <c r="L335" s="311"/>
      <c r="M335" s="309"/>
      <c r="O335" s="363"/>
    </row>
    <row r="336" spans="12:15">
      <c r="L336" s="311"/>
      <c r="M336" s="309"/>
      <c r="O336" s="363"/>
    </row>
    <row r="337" spans="12:15">
      <c r="L337" s="311"/>
      <c r="M337" s="309"/>
      <c r="O337" s="363"/>
    </row>
    <row r="338" spans="12:15">
      <c r="L338" s="311"/>
      <c r="M338" s="309"/>
      <c r="O338" s="363"/>
    </row>
    <row r="339" spans="12:15">
      <c r="L339" s="311"/>
      <c r="M339" s="309"/>
      <c r="O339" s="363"/>
    </row>
    <row r="340" spans="12:15">
      <c r="L340" s="311"/>
      <c r="M340" s="309"/>
      <c r="O340" s="363"/>
    </row>
    <row r="341" spans="12:15">
      <c r="L341" s="311"/>
      <c r="M341" s="309"/>
      <c r="O341" s="363"/>
    </row>
    <row r="342" spans="12:15">
      <c r="L342" s="311"/>
      <c r="M342" s="309"/>
      <c r="O342" s="363"/>
    </row>
    <row r="343" spans="12:15">
      <c r="L343" s="311"/>
      <c r="M343" s="309"/>
      <c r="O343" s="363"/>
    </row>
    <row r="344" spans="12:15">
      <c r="L344" s="311"/>
      <c r="M344" s="309"/>
      <c r="O344" s="363"/>
    </row>
    <row r="345" spans="12:15">
      <c r="L345" s="311"/>
      <c r="M345" s="309"/>
      <c r="O345" s="363"/>
    </row>
    <row r="346" spans="12:15">
      <c r="L346" s="311"/>
      <c r="M346" s="309"/>
      <c r="O346" s="363"/>
    </row>
    <row r="347" spans="12:15">
      <c r="L347" s="311"/>
      <c r="M347" s="309"/>
      <c r="O347" s="363"/>
    </row>
    <row r="348" spans="12:15">
      <c r="L348" s="311"/>
      <c r="M348" s="309"/>
      <c r="O348" s="363"/>
    </row>
    <row r="349" spans="12:15">
      <c r="L349" s="311"/>
      <c r="M349" s="309"/>
      <c r="O349" s="363"/>
    </row>
    <row r="350" spans="12:15">
      <c r="L350" s="311"/>
      <c r="M350" s="309"/>
      <c r="O350" s="363"/>
    </row>
    <row r="351" spans="12:15">
      <c r="L351" s="311"/>
      <c r="M351" s="309"/>
      <c r="O351" s="363"/>
    </row>
    <row r="352" spans="12:15">
      <c r="L352" s="311"/>
      <c r="M352" s="309"/>
      <c r="O352" s="363"/>
    </row>
    <row r="353" spans="12:15">
      <c r="L353" s="311"/>
      <c r="M353" s="309"/>
      <c r="O353" s="363"/>
    </row>
    <row r="354" spans="12:15">
      <c r="L354" s="311"/>
      <c r="M354" s="309"/>
      <c r="O354" s="363"/>
    </row>
    <row r="355" spans="12:15">
      <c r="L355" s="311"/>
      <c r="M355" s="309"/>
      <c r="O355" s="363"/>
    </row>
    <row r="356" spans="12:15">
      <c r="L356" s="311"/>
      <c r="M356" s="309"/>
      <c r="O356" s="363"/>
    </row>
    <row r="357" spans="12:15">
      <c r="L357" s="311"/>
      <c r="M357" s="309"/>
      <c r="O357" s="363"/>
    </row>
    <row r="358" spans="12:15">
      <c r="L358" s="311"/>
      <c r="M358" s="309"/>
      <c r="O358" s="363"/>
    </row>
    <row r="359" spans="12:15">
      <c r="L359" s="311"/>
      <c r="M359" s="309"/>
      <c r="O359" s="363"/>
    </row>
    <row r="360" spans="12:15">
      <c r="L360" s="311"/>
      <c r="M360" s="309"/>
      <c r="O360" s="363"/>
    </row>
    <row r="361" spans="12:15">
      <c r="L361" s="311"/>
      <c r="M361" s="309"/>
      <c r="O361" s="363"/>
    </row>
    <row r="362" spans="12:15">
      <c r="L362" s="311"/>
      <c r="M362" s="309"/>
      <c r="O362" s="363"/>
    </row>
    <row r="363" spans="12:15">
      <c r="L363" s="311"/>
      <c r="M363" s="309"/>
      <c r="O363" s="363"/>
    </row>
    <row r="364" spans="12:15">
      <c r="L364" s="311"/>
      <c r="M364" s="309"/>
      <c r="O364" s="363"/>
    </row>
    <row r="365" spans="12:15">
      <c r="L365" s="311"/>
      <c r="M365" s="309"/>
      <c r="O365" s="363"/>
    </row>
    <row r="366" spans="12:15">
      <c r="L366" s="311"/>
      <c r="M366" s="309"/>
      <c r="O366" s="363"/>
    </row>
    <row r="367" spans="12:15">
      <c r="L367" s="311"/>
      <c r="M367" s="309"/>
      <c r="O367" s="363"/>
    </row>
    <row r="368" spans="12:15">
      <c r="L368" s="311"/>
      <c r="M368" s="309"/>
      <c r="O368" s="363"/>
    </row>
    <row r="369" spans="12:15">
      <c r="L369" s="311"/>
      <c r="M369" s="309"/>
      <c r="O369" s="363"/>
    </row>
    <row r="370" spans="12:15">
      <c r="L370" s="311"/>
      <c r="M370" s="309"/>
      <c r="O370" s="363"/>
    </row>
    <row r="371" spans="12:15">
      <c r="L371" s="311"/>
      <c r="M371" s="309"/>
      <c r="O371" s="363"/>
    </row>
    <row r="372" spans="12:15">
      <c r="L372" s="311"/>
      <c r="M372" s="309"/>
      <c r="O372" s="363"/>
    </row>
    <row r="373" spans="12:15">
      <c r="L373" s="311"/>
      <c r="M373" s="309"/>
      <c r="O373" s="363"/>
    </row>
    <row r="374" spans="12:15">
      <c r="L374" s="311"/>
      <c r="M374" s="309"/>
      <c r="O374" s="363"/>
    </row>
    <row r="375" spans="12:15">
      <c r="L375" s="311"/>
      <c r="M375" s="309"/>
      <c r="O375" s="363"/>
    </row>
    <row r="376" spans="12:15">
      <c r="L376" s="311"/>
      <c r="M376" s="309"/>
      <c r="O376" s="363"/>
    </row>
    <row r="377" spans="12:15">
      <c r="L377" s="311"/>
      <c r="M377" s="309"/>
      <c r="O377" s="363"/>
    </row>
    <row r="378" spans="12:15">
      <c r="L378" s="311"/>
      <c r="M378" s="309"/>
      <c r="O378" s="363"/>
    </row>
    <row r="379" spans="12:15">
      <c r="L379" s="311"/>
      <c r="M379" s="309"/>
      <c r="O379" s="363"/>
    </row>
    <row r="380" spans="12:15">
      <c r="L380" s="311"/>
      <c r="M380" s="309"/>
      <c r="O380" s="363"/>
    </row>
    <row r="381" spans="12:15">
      <c r="L381" s="311"/>
      <c r="M381" s="309"/>
      <c r="O381" s="363"/>
    </row>
    <row r="382" spans="12:15">
      <c r="L382" s="311"/>
      <c r="M382" s="309"/>
      <c r="O382" s="363"/>
    </row>
    <row r="383" spans="12:15">
      <c r="L383" s="311"/>
      <c r="M383" s="309"/>
      <c r="O383" s="363"/>
    </row>
    <row r="384" spans="12:15">
      <c r="L384" s="311"/>
      <c r="M384" s="309"/>
      <c r="O384" s="363"/>
    </row>
    <row r="385" spans="12:15">
      <c r="L385" s="311"/>
      <c r="M385" s="309"/>
      <c r="O385" s="363"/>
    </row>
    <row r="386" spans="12:15">
      <c r="L386" s="311"/>
      <c r="M386" s="309"/>
      <c r="O386" s="363"/>
    </row>
    <row r="387" spans="12:15">
      <c r="L387" s="311"/>
      <c r="M387" s="309"/>
      <c r="O387" s="363"/>
    </row>
    <row r="388" spans="12:15">
      <c r="L388" s="311"/>
      <c r="M388" s="309"/>
      <c r="O388" s="363"/>
    </row>
    <row r="389" spans="12:15">
      <c r="L389" s="311"/>
      <c r="M389" s="309"/>
      <c r="O389" s="363"/>
    </row>
    <row r="390" spans="12:15">
      <c r="L390" s="311"/>
      <c r="M390" s="309"/>
      <c r="O390" s="363"/>
    </row>
    <row r="391" spans="12:15">
      <c r="L391" s="311"/>
      <c r="M391" s="309"/>
      <c r="O391" s="363"/>
    </row>
    <row r="392" spans="12:15">
      <c r="L392" s="311"/>
      <c r="M392" s="309"/>
      <c r="O392" s="363"/>
    </row>
    <row r="393" spans="12:15">
      <c r="L393" s="311"/>
      <c r="M393" s="309"/>
      <c r="O393" s="363"/>
    </row>
    <row r="394" spans="12:15">
      <c r="L394" s="311"/>
      <c r="M394" s="309"/>
      <c r="O394" s="363"/>
    </row>
    <row r="395" spans="12:15">
      <c r="L395" s="311"/>
      <c r="M395" s="309"/>
      <c r="O395" s="363"/>
    </row>
    <row r="396" spans="12:15">
      <c r="L396" s="311"/>
      <c r="M396" s="309"/>
      <c r="O396" s="363"/>
    </row>
    <row r="397" spans="12:15">
      <c r="L397" s="311"/>
      <c r="M397" s="309"/>
      <c r="O397" s="363"/>
    </row>
    <row r="398" spans="12:15">
      <c r="L398" s="311"/>
      <c r="M398" s="309"/>
      <c r="O398" s="363"/>
    </row>
    <row r="399" spans="12:15">
      <c r="L399" s="311"/>
      <c r="M399" s="309"/>
      <c r="O399" s="363"/>
    </row>
    <row r="400" spans="12:15">
      <c r="L400" s="311"/>
      <c r="M400" s="309"/>
      <c r="O400" s="363"/>
    </row>
    <row r="401" spans="12:15">
      <c r="L401" s="311"/>
      <c r="M401" s="309"/>
      <c r="O401" s="363"/>
    </row>
    <row r="402" spans="12:15">
      <c r="L402" s="311"/>
      <c r="M402" s="309"/>
      <c r="O402" s="363"/>
    </row>
    <row r="403" spans="12:15">
      <c r="L403" s="311"/>
      <c r="M403" s="309"/>
      <c r="O403" s="363"/>
    </row>
    <row r="404" spans="12:15">
      <c r="L404" s="311"/>
      <c r="M404" s="309"/>
      <c r="O404" s="363"/>
    </row>
    <row r="405" spans="12:15">
      <c r="L405" s="311"/>
      <c r="M405" s="309"/>
      <c r="O405" s="363"/>
    </row>
    <row r="406" spans="12:15">
      <c r="L406" s="311"/>
      <c r="M406" s="309"/>
      <c r="O406" s="363"/>
    </row>
    <row r="407" spans="12:15">
      <c r="L407" s="311"/>
      <c r="M407" s="309"/>
      <c r="O407" s="363"/>
    </row>
    <row r="408" spans="12:15">
      <c r="L408" s="311"/>
      <c r="M408" s="309"/>
      <c r="O408" s="363"/>
    </row>
    <row r="409" spans="12:15">
      <c r="L409" s="311"/>
      <c r="M409" s="309"/>
      <c r="O409" s="363"/>
    </row>
    <row r="410" spans="12:15">
      <c r="L410" s="311"/>
      <c r="M410" s="309"/>
      <c r="O410" s="363"/>
    </row>
    <row r="411" spans="12:15">
      <c r="L411" s="311"/>
      <c r="M411" s="309"/>
      <c r="O411" s="363"/>
    </row>
    <row r="412" spans="12:15">
      <c r="L412" s="311"/>
      <c r="M412" s="309"/>
      <c r="O412" s="363"/>
    </row>
    <row r="413" spans="12:15">
      <c r="L413" s="311"/>
      <c r="M413" s="309"/>
      <c r="O413" s="363"/>
    </row>
    <row r="414" spans="12:15">
      <c r="L414" s="311"/>
      <c r="M414" s="309"/>
      <c r="O414" s="363"/>
    </row>
    <row r="415" spans="12:15">
      <c r="L415" s="311"/>
      <c r="M415" s="309"/>
      <c r="O415" s="363"/>
    </row>
    <row r="416" spans="12:15">
      <c r="L416" s="311"/>
      <c r="M416" s="309"/>
      <c r="O416" s="363"/>
    </row>
    <row r="417" spans="12:15">
      <c r="L417" s="311"/>
      <c r="M417" s="309"/>
      <c r="O417" s="363"/>
    </row>
    <row r="418" spans="12:15">
      <c r="L418" s="311"/>
      <c r="M418" s="309"/>
      <c r="O418" s="363"/>
    </row>
    <row r="419" spans="12:15">
      <c r="L419" s="311"/>
      <c r="M419" s="309"/>
      <c r="O419" s="363"/>
    </row>
    <row r="420" spans="12:15">
      <c r="L420" s="311"/>
      <c r="M420" s="309"/>
      <c r="O420" s="363"/>
    </row>
    <row r="421" spans="12:15">
      <c r="L421" s="311"/>
      <c r="M421" s="309"/>
      <c r="O421" s="363"/>
    </row>
    <row r="422" spans="12:15">
      <c r="L422" s="311"/>
      <c r="M422" s="309"/>
      <c r="O422" s="363"/>
    </row>
    <row r="423" spans="12:15">
      <c r="L423" s="311"/>
      <c r="M423" s="309"/>
      <c r="O423" s="363"/>
    </row>
    <row r="424" spans="12:15">
      <c r="L424" s="311"/>
      <c r="M424" s="309"/>
      <c r="O424" s="363"/>
    </row>
    <row r="425" spans="12:15">
      <c r="L425" s="311"/>
      <c r="M425" s="309"/>
      <c r="O425" s="363"/>
    </row>
    <row r="426" spans="12:15">
      <c r="L426" s="311"/>
      <c r="M426" s="309"/>
      <c r="O426" s="363"/>
    </row>
    <row r="427" spans="12:15">
      <c r="L427" s="311"/>
      <c r="M427" s="309"/>
      <c r="O427" s="363"/>
    </row>
    <row r="428" spans="12:15">
      <c r="L428" s="311"/>
      <c r="M428" s="309"/>
      <c r="O428" s="363"/>
    </row>
    <row r="429" spans="12:15">
      <c r="L429" s="311"/>
      <c r="M429" s="309"/>
      <c r="O429" s="363"/>
    </row>
    <row r="430" spans="12:15">
      <c r="L430" s="311"/>
      <c r="M430" s="309"/>
      <c r="O430" s="363"/>
    </row>
    <row r="431" spans="12:15">
      <c r="L431" s="311"/>
      <c r="M431" s="309"/>
      <c r="O431" s="363"/>
    </row>
    <row r="432" spans="12:15">
      <c r="L432" s="311"/>
      <c r="M432" s="309"/>
      <c r="O432" s="363"/>
    </row>
    <row r="433" spans="12:15">
      <c r="L433" s="311"/>
      <c r="M433" s="309"/>
      <c r="O433" s="363"/>
    </row>
  </sheetData>
  <conditionalFormatting sqref="D17:D185">
    <cfRule type="cellIs" dxfId="0" priority="9" operator="lessThan">
      <formula>3</formula>
    </cfRule>
    <cfRule type="cellIs" dxfId="1" priority="10" operator="greaterThanOrEqual">
      <formula>O17</formula>
    </cfRule>
  </conditionalFormatting>
  <conditionalFormatting sqref="F17:F185">
    <cfRule type="cellIs" dxfId="0" priority="11" operator="lessThan">
      <formula>O17</formula>
    </cfRule>
    <cfRule type="cellIs" dxfId="1" priority="12" operator="greaterThanOrEqual">
      <formula>O17</formula>
    </cfRule>
  </conditionalFormatting>
  <conditionalFormatting sqref="H17:H185">
    <cfRule type="cellIs" dxfId="1" priority="13" operator="greaterThanOrEqual">
      <formula>O17</formula>
    </cfRule>
    <cfRule type="cellIs" dxfId="0" priority="14" operator="lessThan">
      <formula>O17</formula>
    </cfRule>
  </conditionalFormatting>
  <conditionalFormatting sqref="J17:J185">
    <cfRule type="cellIs" dxfId="1" priority="15" operator="greaterThanOrEqual">
      <formula>O17</formula>
    </cfRule>
    <cfRule type="cellIs" dxfId="0" priority="16" operator="lessThan">
      <formula>O17</formula>
    </cfRule>
  </conditionalFormatting>
  <conditionalFormatting sqref="P16:P185">
    <cfRule type="cellIs" dxfId="0" priority="1" operator="lessThanOrEqual">
      <formula>N16</formula>
    </cfRule>
    <cfRule type="cellIs" dxfId="1" priority="2" operator="greaterThan">
      <formula>N16</formula>
    </cfRule>
  </conditionalFormatting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89"/>
  <sheetViews>
    <sheetView tabSelected="1" workbookViewId="0">
      <pane xSplit="1" ySplit="16" topLeftCell="B251" activePane="bottomRight" state="frozen"/>
      <selection/>
      <selection pane="topRight"/>
      <selection pane="bottomLeft"/>
      <selection pane="bottomRight" activeCell="N233" sqref="N233"/>
    </sheetView>
  </sheetViews>
  <sheetFormatPr defaultColWidth="9.14166666666667" defaultRowHeight="15.5"/>
  <cols>
    <col min="1" max="1" width="12.5833333333333" style="128" customWidth="1"/>
    <col min="2" max="2" width="9" style="4" customWidth="1"/>
    <col min="3" max="3" width="16.25" style="129" customWidth="1"/>
    <col min="4" max="4" width="13.4166666666667" style="5" customWidth="1"/>
    <col min="5" max="5" width="12" style="6" customWidth="1"/>
    <col min="6" max="6" width="13.25" style="5" customWidth="1"/>
    <col min="7" max="7" width="11.875" style="5" customWidth="1"/>
    <col min="8" max="8" width="12.6666666666667" style="5" customWidth="1"/>
    <col min="9" max="9" width="9.41666666666667" style="5" customWidth="1"/>
    <col min="10" max="10" width="9.83333333333333" style="5" customWidth="1"/>
    <col min="11" max="11" width="10.4166666666667" style="5" customWidth="1"/>
    <col min="12" max="12" width="9.83333333333333" style="5" customWidth="1"/>
    <col min="13" max="15" width="9.875" style="5" customWidth="1"/>
    <col min="16" max="16" width="9.875" style="7" customWidth="1"/>
    <col min="17" max="17" width="12.5" style="5" customWidth="1"/>
    <col min="18" max="18" width="6.83333333333333" style="8" customWidth="1"/>
    <col min="19" max="19" width="6.875" style="8" customWidth="1"/>
    <col min="20" max="20" width="10.375" style="9" customWidth="1"/>
    <col min="21" max="21" width="10.625" style="10" customWidth="1"/>
    <col min="22" max="22" width="14.375" style="10" customWidth="1"/>
    <col min="23" max="23" width="68.25" style="2" customWidth="1"/>
    <col min="24" max="16384" width="9.14166666666667" style="2"/>
  </cols>
  <sheetData>
    <row r="1" ht="16.25" spans="1:22">
      <c r="A1" s="130"/>
      <c r="B1" s="131" t="s">
        <v>57</v>
      </c>
      <c r="C1" s="132"/>
      <c r="D1" s="132"/>
      <c r="E1" s="133"/>
      <c r="F1" s="132"/>
      <c r="G1" s="132"/>
      <c r="H1" s="134"/>
      <c r="I1" s="130"/>
      <c r="J1" s="130"/>
      <c r="K1" s="14" t="s">
        <v>33</v>
      </c>
      <c r="L1" s="15" t="s">
        <v>58</v>
      </c>
      <c r="M1" s="16" t="s">
        <v>51</v>
      </c>
      <c r="N1" s="16" t="s">
        <v>59</v>
      </c>
      <c r="O1" s="33" t="s">
        <v>60</v>
      </c>
      <c r="P1" s="33" t="s">
        <v>52</v>
      </c>
      <c r="Q1" s="14" t="s">
        <v>33</v>
      </c>
      <c r="R1" s="15" t="s">
        <v>58</v>
      </c>
      <c r="S1" s="16" t="s">
        <v>51</v>
      </c>
      <c r="T1" s="16" t="s">
        <v>59</v>
      </c>
      <c r="U1" s="33" t="s">
        <v>60</v>
      </c>
      <c r="V1" s="33" t="s">
        <v>52</v>
      </c>
    </row>
    <row r="2" spans="1:22">
      <c r="A2" s="130"/>
      <c r="B2" s="135"/>
      <c r="C2" s="136"/>
      <c r="D2" s="136"/>
      <c r="E2" s="137"/>
      <c r="F2" s="136"/>
      <c r="G2" s="136"/>
      <c r="H2" s="138"/>
      <c r="I2" s="130"/>
      <c r="J2" s="130"/>
      <c r="K2" s="185"/>
      <c r="L2" s="15"/>
      <c r="M2" s="16"/>
      <c r="N2" s="16"/>
      <c r="O2" s="35"/>
      <c r="P2" s="35"/>
      <c r="Q2" s="17">
        <v>45658</v>
      </c>
      <c r="R2" s="18">
        <f>S2+T2</f>
        <v>3</v>
      </c>
      <c r="S2" s="19">
        <v>3</v>
      </c>
      <c r="T2" s="19">
        <v>0</v>
      </c>
      <c r="U2" s="35">
        <f>V2/P13-1</f>
        <v>0.105044633589371</v>
      </c>
      <c r="V2" s="35">
        <v>3.7261</v>
      </c>
    </row>
    <row r="3" spans="1:22">
      <c r="A3" s="11"/>
      <c r="B3" s="139" t="s">
        <v>61</v>
      </c>
      <c r="C3" s="140"/>
      <c r="D3" s="140"/>
      <c r="E3" s="141"/>
      <c r="F3" s="140"/>
      <c r="G3" s="140"/>
      <c r="H3" s="142"/>
      <c r="I3" s="28"/>
      <c r="J3" s="28"/>
      <c r="K3" s="185"/>
      <c r="L3" s="15"/>
      <c r="M3" s="16"/>
      <c r="N3" s="16"/>
      <c r="O3" s="35"/>
      <c r="P3" s="35"/>
      <c r="Q3" s="17">
        <v>45689</v>
      </c>
      <c r="R3" s="18">
        <f>S3+T3</f>
        <v>6</v>
      </c>
      <c r="S3" s="19">
        <v>3</v>
      </c>
      <c r="T3" s="19">
        <v>3</v>
      </c>
      <c r="U3" s="35">
        <f>V3/V2-1</f>
        <v>-0.0586940769168837</v>
      </c>
      <c r="V3" s="35">
        <v>3.5074</v>
      </c>
    </row>
    <row r="4" spans="1:22">
      <c r="A4" s="11"/>
      <c r="B4" s="143" t="s">
        <v>62</v>
      </c>
      <c r="C4" s="144"/>
      <c r="D4" s="145" t="s">
        <v>63</v>
      </c>
      <c r="E4" s="146"/>
      <c r="F4" s="147"/>
      <c r="G4" s="144"/>
      <c r="H4" s="148"/>
      <c r="I4" s="28"/>
      <c r="J4" s="28"/>
      <c r="K4" s="185"/>
      <c r="L4" s="18"/>
      <c r="M4" s="19"/>
      <c r="N4" s="19"/>
      <c r="O4" s="35"/>
      <c r="P4" s="35"/>
      <c r="Q4" s="17">
        <v>45717</v>
      </c>
      <c r="R4" s="18">
        <f t="shared" ref="R4:R13" si="0">S4+T4</f>
        <v>4</v>
      </c>
      <c r="S4" s="19">
        <v>1</v>
      </c>
      <c r="T4" s="19">
        <v>3</v>
      </c>
      <c r="U4" s="35">
        <f>V4/V3-1</f>
        <v>-0.0945999885955409</v>
      </c>
      <c r="V4" s="35">
        <v>3.1756</v>
      </c>
    </row>
    <row r="5" spans="1:22">
      <c r="A5" s="11"/>
      <c r="B5" s="143" t="s">
        <v>64</v>
      </c>
      <c r="C5" s="144"/>
      <c r="D5" s="145" t="s">
        <v>65</v>
      </c>
      <c r="E5" s="146"/>
      <c r="F5" s="147"/>
      <c r="G5" s="144"/>
      <c r="H5" s="148"/>
      <c r="I5" s="28"/>
      <c r="J5" s="28"/>
      <c r="K5" s="186"/>
      <c r="L5" s="21"/>
      <c r="M5" s="22"/>
      <c r="N5" s="22"/>
      <c r="O5" s="22"/>
      <c r="P5" s="22"/>
      <c r="Q5" s="17">
        <v>45748</v>
      </c>
      <c r="R5" s="18">
        <f>S5+T5</f>
        <v>6</v>
      </c>
      <c r="S5" s="19">
        <v>2</v>
      </c>
      <c r="T5" s="19">
        <v>4</v>
      </c>
      <c r="U5" s="35">
        <f>V5/V4-1</f>
        <v>0.314901121047991</v>
      </c>
      <c r="V5" s="35">
        <v>4.1756</v>
      </c>
    </row>
    <row r="6" spans="1:22">
      <c r="A6" s="11"/>
      <c r="B6" s="143" t="s">
        <v>66</v>
      </c>
      <c r="C6" s="144"/>
      <c r="D6" s="145" t="s">
        <v>67</v>
      </c>
      <c r="E6" s="146"/>
      <c r="F6" s="147"/>
      <c r="G6" s="144"/>
      <c r="H6" s="148"/>
      <c r="I6" s="28"/>
      <c r="J6" s="28"/>
      <c r="K6" s="186"/>
      <c r="L6" s="21"/>
      <c r="M6" s="22"/>
      <c r="N6" s="22"/>
      <c r="O6" s="22"/>
      <c r="P6" s="22"/>
      <c r="Q6" s="17">
        <v>45778</v>
      </c>
      <c r="R6" s="18">
        <f>S6+T6</f>
        <v>8</v>
      </c>
      <c r="S6" s="19">
        <v>3</v>
      </c>
      <c r="T6" s="19">
        <v>5</v>
      </c>
      <c r="U6" s="35">
        <f>V6/V5-1</f>
        <v>0.239486540856404</v>
      </c>
      <c r="V6" s="35">
        <v>5.1756</v>
      </c>
    </row>
    <row r="7" spans="1:22">
      <c r="A7" s="11"/>
      <c r="B7" s="143" t="s">
        <v>68</v>
      </c>
      <c r="C7" s="144"/>
      <c r="D7" s="145" t="s">
        <v>69</v>
      </c>
      <c r="E7" s="146"/>
      <c r="F7" s="147"/>
      <c r="G7" s="144"/>
      <c r="H7" s="148"/>
      <c r="I7" s="28"/>
      <c r="J7" s="28"/>
      <c r="K7" s="186"/>
      <c r="L7" s="21"/>
      <c r="M7" s="22"/>
      <c r="N7" s="22"/>
      <c r="O7" s="22"/>
      <c r="P7" s="22"/>
      <c r="Q7" s="17">
        <v>45809</v>
      </c>
      <c r="R7" s="18">
        <f>S7+T7</f>
        <v>10</v>
      </c>
      <c r="S7" s="19">
        <v>4</v>
      </c>
      <c r="T7" s="19">
        <v>6</v>
      </c>
      <c r="U7" s="35">
        <f>V7/V6-1</f>
        <v>0.19321431331633</v>
      </c>
      <c r="V7" s="35">
        <v>6.1756</v>
      </c>
    </row>
    <row r="8" ht="13" customHeight="1" spans="1:22">
      <c r="A8" s="11"/>
      <c r="B8" s="143" t="s">
        <v>70</v>
      </c>
      <c r="C8" s="144"/>
      <c r="D8" s="145" t="s">
        <v>71</v>
      </c>
      <c r="E8" s="146"/>
      <c r="F8" s="147"/>
      <c r="G8" s="144"/>
      <c r="H8" s="148"/>
      <c r="I8" s="28"/>
      <c r="J8" s="28"/>
      <c r="K8" s="186"/>
      <c r="L8" s="21"/>
      <c r="M8" s="22"/>
      <c r="N8" s="22"/>
      <c r="O8" s="22"/>
      <c r="P8" s="22"/>
      <c r="Q8" s="17">
        <v>45839</v>
      </c>
      <c r="R8" s="18">
        <f t="shared" si="0"/>
        <v>0</v>
      </c>
      <c r="S8" s="22"/>
      <c r="T8" s="22"/>
      <c r="U8" s="83"/>
      <c r="V8" s="83"/>
    </row>
    <row r="9" spans="1:22">
      <c r="A9" s="11"/>
      <c r="B9" s="143"/>
      <c r="C9" s="144"/>
      <c r="D9" s="145"/>
      <c r="E9" s="146"/>
      <c r="F9" s="147"/>
      <c r="G9" s="144"/>
      <c r="H9" s="148"/>
      <c r="I9" s="28"/>
      <c r="J9" s="28"/>
      <c r="K9" s="186"/>
      <c r="L9" s="21"/>
      <c r="M9" s="22"/>
      <c r="N9" s="22"/>
      <c r="O9" s="22"/>
      <c r="P9" s="22"/>
      <c r="Q9" s="17">
        <v>45870</v>
      </c>
      <c r="R9" s="18">
        <f t="shared" si="0"/>
        <v>0</v>
      </c>
      <c r="S9" s="22"/>
      <c r="T9" s="22"/>
      <c r="U9" s="83"/>
      <c r="V9" s="83"/>
    </row>
    <row r="10" spans="1:22">
      <c r="A10" s="11"/>
      <c r="B10" s="143"/>
      <c r="C10" s="144"/>
      <c r="D10" s="145"/>
      <c r="E10" s="146"/>
      <c r="F10" s="147"/>
      <c r="G10" s="144"/>
      <c r="H10" s="148"/>
      <c r="I10" s="28"/>
      <c r="J10" s="28"/>
      <c r="K10" s="186"/>
      <c r="L10" s="21"/>
      <c r="M10" s="22"/>
      <c r="N10" s="22"/>
      <c r="O10" s="22"/>
      <c r="P10" s="22"/>
      <c r="Q10" s="17">
        <v>45901</v>
      </c>
      <c r="R10" s="18">
        <f t="shared" si="0"/>
        <v>0</v>
      </c>
      <c r="S10" s="22"/>
      <c r="T10" s="22"/>
      <c r="U10" s="83"/>
      <c r="V10" s="83"/>
    </row>
    <row r="11" spans="1:22">
      <c r="A11" s="11"/>
      <c r="B11" s="143"/>
      <c r="C11" s="144"/>
      <c r="D11" s="149"/>
      <c r="E11" s="141"/>
      <c r="F11" s="140"/>
      <c r="G11" s="140"/>
      <c r="H11" s="142"/>
      <c r="I11" s="28"/>
      <c r="J11" s="28"/>
      <c r="K11" s="26">
        <v>45566</v>
      </c>
      <c r="L11" s="18">
        <v>5</v>
      </c>
      <c r="M11" s="19">
        <v>5</v>
      </c>
      <c r="N11" s="19">
        <v>0</v>
      </c>
      <c r="O11" s="35">
        <v>0.4655</v>
      </c>
      <c r="P11" s="35">
        <v>1.4655</v>
      </c>
      <c r="Q11" s="17">
        <v>45931</v>
      </c>
      <c r="R11" s="18">
        <f t="shared" si="0"/>
        <v>0</v>
      </c>
      <c r="S11" s="19"/>
      <c r="T11" s="19"/>
      <c r="U11" s="35"/>
      <c r="V11" s="35"/>
    </row>
    <row r="12" spans="1:22">
      <c r="A12" s="11"/>
      <c r="B12" s="150"/>
      <c r="C12" s="151"/>
      <c r="D12" s="152"/>
      <c r="E12" s="153"/>
      <c r="F12" s="154"/>
      <c r="G12" s="154"/>
      <c r="H12" s="155"/>
      <c r="I12" s="28"/>
      <c r="J12" s="28"/>
      <c r="K12" s="26">
        <v>45597</v>
      </c>
      <c r="L12" s="24">
        <v>9</v>
      </c>
      <c r="M12" s="25">
        <v>6</v>
      </c>
      <c r="N12" s="25">
        <v>3</v>
      </c>
      <c r="O12" s="61">
        <f>P12/P11-1</f>
        <v>0.430638007505971</v>
      </c>
      <c r="P12" s="61">
        <v>2.0966</v>
      </c>
      <c r="Q12" s="17">
        <v>45962</v>
      </c>
      <c r="R12" s="18">
        <f t="shared" si="0"/>
        <v>0</v>
      </c>
      <c r="S12" s="25"/>
      <c r="T12" s="25"/>
      <c r="U12" s="61"/>
      <c r="V12" s="61"/>
    </row>
    <row r="13" spans="1:22">
      <c r="A13" s="11"/>
      <c r="B13" s="150"/>
      <c r="C13" s="151"/>
      <c r="D13" s="152"/>
      <c r="E13" s="153"/>
      <c r="F13" s="154"/>
      <c r="G13" s="154"/>
      <c r="H13" s="155"/>
      <c r="I13" s="28"/>
      <c r="J13" s="28"/>
      <c r="K13" s="26">
        <v>45627</v>
      </c>
      <c r="L13" s="18">
        <f>M13+N13</f>
        <v>7</v>
      </c>
      <c r="M13" s="19">
        <v>7</v>
      </c>
      <c r="N13" s="19">
        <v>0</v>
      </c>
      <c r="O13" s="35">
        <f>P13/P11-1</f>
        <v>1.30085295121119</v>
      </c>
      <c r="P13" s="35">
        <v>3.3719</v>
      </c>
      <c r="Q13" s="26">
        <v>45992</v>
      </c>
      <c r="R13" s="18">
        <f t="shared" si="0"/>
        <v>0</v>
      </c>
      <c r="S13" s="19"/>
      <c r="T13" s="19"/>
      <c r="U13" s="35"/>
      <c r="V13" s="35"/>
    </row>
    <row r="14" ht="16.25" spans="1:22">
      <c r="A14" s="11"/>
      <c r="B14" s="156"/>
      <c r="C14" s="157"/>
      <c r="D14" s="158"/>
      <c r="E14" s="159"/>
      <c r="F14" s="160"/>
      <c r="G14" s="160"/>
      <c r="H14" s="161"/>
      <c r="I14" s="28"/>
      <c r="J14" s="28"/>
      <c r="K14" s="26" t="s">
        <v>72</v>
      </c>
      <c r="L14" s="18">
        <f t="shared" ref="L14:N14" si="1">SUM(L2:L13)</f>
        <v>21</v>
      </c>
      <c r="M14" s="18">
        <f t="shared" si="1"/>
        <v>18</v>
      </c>
      <c r="N14" s="18">
        <f t="shared" si="1"/>
        <v>3</v>
      </c>
      <c r="O14" s="35">
        <f>AVERAGE(O11:O13)</f>
        <v>0.732330319572387</v>
      </c>
      <c r="P14" s="35">
        <v>3.3719</v>
      </c>
      <c r="Q14" s="26" t="s">
        <v>72</v>
      </c>
      <c r="R14" s="18">
        <f t="shared" ref="O14:T14" si="2">SUM(R2:R13)</f>
        <v>37</v>
      </c>
      <c r="S14" s="18">
        <f t="shared" si="2"/>
        <v>16</v>
      </c>
      <c r="T14" s="18">
        <f t="shared" si="2"/>
        <v>21</v>
      </c>
      <c r="U14" s="35">
        <f>AVERAGE(U2:U13)</f>
        <v>0.116558757216279</v>
      </c>
      <c r="V14" s="35">
        <f>V3</f>
        <v>3.5074</v>
      </c>
    </row>
    <row r="15" ht="16.25" spans="1:22">
      <c r="A15" s="11"/>
      <c r="B15" s="20"/>
      <c r="C15" s="20"/>
      <c r="D15" s="20"/>
      <c r="E15" s="20"/>
      <c r="F15" s="20"/>
      <c r="G15" s="20"/>
      <c r="H15" s="20"/>
      <c r="I15" s="28"/>
      <c r="J15" s="28"/>
      <c r="K15" s="28"/>
      <c r="L15" s="28"/>
      <c r="M15" s="28"/>
      <c r="N15" s="28"/>
      <c r="O15" s="28"/>
      <c r="P15" s="28"/>
      <c r="Q15" s="84"/>
      <c r="R15" s="85"/>
      <c r="S15" s="85"/>
      <c r="T15" s="86"/>
      <c r="U15" s="87"/>
      <c r="V15" s="87"/>
    </row>
    <row r="16" spans="1:23">
      <c r="A16" s="162" t="s">
        <v>44</v>
      </c>
      <c r="B16" s="14" t="s">
        <v>73</v>
      </c>
      <c r="C16" s="163" t="s">
        <v>74</v>
      </c>
      <c r="D16" s="33" t="s">
        <v>75</v>
      </c>
      <c r="E16" s="33" t="s">
        <v>76</v>
      </c>
      <c r="F16" s="33" t="s">
        <v>77</v>
      </c>
      <c r="G16" s="33" t="s">
        <v>78</v>
      </c>
      <c r="H16" s="33" t="s">
        <v>79</v>
      </c>
      <c r="I16" s="33" t="s">
        <v>80</v>
      </c>
      <c r="J16" s="33" t="s">
        <v>81</v>
      </c>
      <c r="K16" s="33" t="s">
        <v>82</v>
      </c>
      <c r="L16" s="30" t="s">
        <v>81</v>
      </c>
      <c r="M16" s="30"/>
      <c r="N16" s="187"/>
      <c r="O16" s="32"/>
      <c r="Q16" s="88" t="s">
        <v>83</v>
      </c>
      <c r="R16" s="89" t="s">
        <v>55</v>
      </c>
      <c r="S16" s="89" t="s">
        <v>56</v>
      </c>
      <c r="T16" s="189" t="s">
        <v>84</v>
      </c>
      <c r="U16" s="190"/>
      <c r="V16" s="190"/>
      <c r="W16" s="191"/>
    </row>
    <row r="17" s="125" customFormat="1" spans="1:23">
      <c r="A17" s="29">
        <v>45579</v>
      </c>
      <c r="B17" s="14"/>
      <c r="C17" s="163"/>
      <c r="D17" s="30"/>
      <c r="E17" s="164"/>
      <c r="F17" s="32"/>
      <c r="G17" s="33"/>
      <c r="H17" s="33"/>
      <c r="I17" s="33"/>
      <c r="J17" s="35">
        <v>1</v>
      </c>
      <c r="K17" s="33"/>
      <c r="L17" s="35">
        <v>1</v>
      </c>
      <c r="M17" s="36"/>
      <c r="N17" s="36"/>
      <c r="O17" s="36"/>
      <c r="P17" s="36"/>
      <c r="Q17" s="192"/>
      <c r="R17" s="193"/>
      <c r="S17" s="193"/>
      <c r="T17" s="194"/>
      <c r="U17" s="195"/>
      <c r="V17" s="195"/>
      <c r="W17" s="196"/>
    </row>
    <row r="18" s="126" customFormat="1" spans="1:23">
      <c r="A18" s="29">
        <v>45580</v>
      </c>
      <c r="B18" s="165" t="s">
        <v>85</v>
      </c>
      <c r="C18" s="165" t="s">
        <v>86</v>
      </c>
      <c r="D18" s="166">
        <v>0.0692</v>
      </c>
      <c r="E18" s="167">
        <v>-0.0536</v>
      </c>
      <c r="F18" s="168"/>
      <c r="G18" s="169"/>
      <c r="H18" s="169"/>
      <c r="I18" s="33"/>
      <c r="J18" s="33"/>
      <c r="K18" s="33"/>
      <c r="L18" s="33"/>
      <c r="M18" s="7"/>
      <c r="N18" s="7"/>
      <c r="O18" s="7"/>
      <c r="P18" s="7"/>
      <c r="Q18" s="197"/>
      <c r="R18" s="198"/>
      <c r="S18" s="198"/>
      <c r="T18" s="194"/>
      <c r="U18" s="195"/>
      <c r="V18" s="195"/>
      <c r="W18" s="196"/>
    </row>
    <row r="19" s="126" customFormat="1" spans="1:23">
      <c r="A19" s="29">
        <v>45581</v>
      </c>
      <c r="B19" s="165" t="s">
        <v>87</v>
      </c>
      <c r="C19" s="165" t="s">
        <v>88</v>
      </c>
      <c r="D19" s="166">
        <v>0.0457</v>
      </c>
      <c r="E19" s="167" t="s">
        <v>89</v>
      </c>
      <c r="F19" s="168"/>
      <c r="G19" s="169"/>
      <c r="H19" s="169"/>
      <c r="I19" s="33"/>
      <c r="J19" s="33"/>
      <c r="K19" s="33"/>
      <c r="L19" s="33"/>
      <c r="M19" s="7"/>
      <c r="N19" s="7"/>
      <c r="O19" s="7"/>
      <c r="P19" s="7"/>
      <c r="Q19" s="197"/>
      <c r="R19" s="198"/>
      <c r="S19" s="198"/>
      <c r="T19" s="194"/>
      <c r="U19" s="195"/>
      <c r="V19" s="195"/>
      <c r="W19" s="196"/>
    </row>
    <row r="20" s="126" customFormat="1" spans="1:23">
      <c r="A20" s="71">
        <v>45582</v>
      </c>
      <c r="B20" s="14"/>
      <c r="C20" s="163"/>
      <c r="D20" s="30"/>
      <c r="E20" s="164"/>
      <c r="F20" s="32"/>
      <c r="G20" s="33"/>
      <c r="H20" s="33"/>
      <c r="I20" s="33"/>
      <c r="J20" s="33"/>
      <c r="K20" s="33"/>
      <c r="L20" s="33"/>
      <c r="M20" s="7"/>
      <c r="N20" s="7"/>
      <c r="O20" s="7"/>
      <c r="P20" s="7"/>
      <c r="Q20" s="197"/>
      <c r="R20" s="198"/>
      <c r="S20" s="198"/>
      <c r="T20" s="194"/>
      <c r="U20" s="195"/>
      <c r="V20" s="195"/>
      <c r="W20" s="196"/>
    </row>
    <row r="21" s="126" customFormat="1" spans="1:23">
      <c r="A21" s="71">
        <v>45583</v>
      </c>
      <c r="B21" s="14"/>
      <c r="C21" s="163"/>
      <c r="D21" s="30"/>
      <c r="E21" s="164"/>
      <c r="F21" s="32"/>
      <c r="G21" s="33"/>
      <c r="H21" s="33"/>
      <c r="I21" s="33"/>
      <c r="J21" s="33"/>
      <c r="K21" s="33"/>
      <c r="L21" s="33"/>
      <c r="M21" s="7"/>
      <c r="N21" s="7"/>
      <c r="O21" s="7"/>
      <c r="P21" s="7"/>
      <c r="Q21" s="197"/>
      <c r="R21" s="198"/>
      <c r="S21" s="198"/>
      <c r="T21" s="194"/>
      <c r="U21" s="195"/>
      <c r="V21" s="195"/>
      <c r="W21" s="196"/>
    </row>
    <row r="22" s="126" customFormat="1" spans="1:23">
      <c r="A22" s="71">
        <v>45586</v>
      </c>
      <c r="B22" s="14"/>
      <c r="C22" s="163"/>
      <c r="D22" s="30"/>
      <c r="E22" s="164"/>
      <c r="F22" s="32"/>
      <c r="G22" s="33"/>
      <c r="H22" s="33"/>
      <c r="I22" s="33"/>
      <c r="J22" s="33"/>
      <c r="K22" s="33"/>
      <c r="L22" s="33"/>
      <c r="M22" s="7"/>
      <c r="N22" s="7"/>
      <c r="O22" s="7"/>
      <c r="P22" s="7"/>
      <c r="Q22" s="199">
        <f ca="1">S22/R22</f>
        <v>0</v>
      </c>
      <c r="R22" s="198">
        <f ca="1">VLOOKUP(INDIRECT("A"&amp;ROW()),收益表!$A$16:$U$10014,20,0)</f>
        <v>190</v>
      </c>
      <c r="S22" s="198">
        <f ca="1">VLOOKUP(INDIRECT("A"&amp;ROW()),收益表!$A$16:$U$10014,21,0)</f>
        <v>0</v>
      </c>
      <c r="T22" s="194"/>
      <c r="U22" s="195"/>
      <c r="V22" s="195"/>
      <c r="W22" s="196"/>
    </row>
    <row r="23" s="126" customFormat="1" spans="1:23">
      <c r="A23" s="71">
        <v>45587</v>
      </c>
      <c r="B23" s="14"/>
      <c r="C23" s="163"/>
      <c r="D23" s="30"/>
      <c r="E23" s="164"/>
      <c r="F23" s="32"/>
      <c r="G23" s="33"/>
      <c r="H23" s="33"/>
      <c r="I23" s="33"/>
      <c r="J23" s="33"/>
      <c r="K23" s="33"/>
      <c r="L23" s="33"/>
      <c r="M23" s="7"/>
      <c r="N23" s="7"/>
      <c r="O23" s="7"/>
      <c r="P23" s="7"/>
      <c r="Q23" s="199">
        <f ca="1">S23/R23</f>
        <v>0</v>
      </c>
      <c r="R23" s="198">
        <f ca="1">VLOOKUP(INDIRECT("A"&amp;ROW()),收益表!$A$16:$U$10014,20,0)</f>
        <v>132</v>
      </c>
      <c r="S23" s="198">
        <f ca="1">VLOOKUP(INDIRECT("A"&amp;ROW()),收益表!$A$16:$U$10014,21,0)</f>
        <v>0</v>
      </c>
      <c r="T23" s="194"/>
      <c r="U23" s="195"/>
      <c r="V23" s="195"/>
      <c r="W23" s="196"/>
    </row>
    <row r="24" s="126" customFormat="1" spans="1:23">
      <c r="A24" s="71">
        <v>45588</v>
      </c>
      <c r="B24" s="14"/>
      <c r="C24" s="163"/>
      <c r="D24" s="30"/>
      <c r="E24" s="164"/>
      <c r="F24" s="32"/>
      <c r="G24" s="33"/>
      <c r="H24" s="33"/>
      <c r="I24" s="33"/>
      <c r="J24" s="33"/>
      <c r="K24" s="33"/>
      <c r="L24" s="33"/>
      <c r="M24" s="7"/>
      <c r="N24" s="7"/>
      <c r="O24" s="7"/>
      <c r="P24" s="7"/>
      <c r="Q24" s="199">
        <f ca="1">S24/R24</f>
        <v>0.015748031496063</v>
      </c>
      <c r="R24" s="198">
        <f ca="1">VLOOKUP(INDIRECT("A"&amp;ROW()),收益表!$A$16:$U$10014,20,0)</f>
        <v>127</v>
      </c>
      <c r="S24" s="198">
        <f ca="1">VLOOKUP(INDIRECT("A"&amp;ROW()),收益表!$A$16:$U$10014,21,0)</f>
        <v>2</v>
      </c>
      <c r="T24" s="194"/>
      <c r="U24" s="195"/>
      <c r="V24" s="195"/>
      <c r="W24" s="196"/>
    </row>
    <row r="25" s="127" customFormat="1" spans="1:23">
      <c r="A25" s="29">
        <v>45589</v>
      </c>
      <c r="B25" s="38" t="s">
        <v>90</v>
      </c>
      <c r="C25" s="38" t="s">
        <v>91</v>
      </c>
      <c r="D25" s="39">
        <v>0</v>
      </c>
      <c r="E25" s="170" t="s">
        <v>92</v>
      </c>
      <c r="F25" s="171" t="s">
        <v>92</v>
      </c>
      <c r="G25" s="172" t="s">
        <v>92</v>
      </c>
      <c r="H25" s="173">
        <v>-0.0373</v>
      </c>
      <c r="I25" s="35">
        <v>0.1</v>
      </c>
      <c r="J25" s="35">
        <f>(1+I25)*J17</f>
        <v>1.1</v>
      </c>
      <c r="K25" s="35">
        <v>0.1</v>
      </c>
      <c r="L25" s="35">
        <f>(1+K25)*L17</f>
        <v>1.1</v>
      </c>
      <c r="M25" s="36"/>
      <c r="N25" s="36"/>
      <c r="O25" s="36"/>
      <c r="P25" s="36"/>
      <c r="Q25" s="199">
        <f ca="1">S25/R25</f>
        <v>0.0225563909774436</v>
      </c>
      <c r="R25" s="198">
        <f ca="1">VLOOKUP(INDIRECT("A"&amp;ROW()),收益表!$A$16:$U$10014,20,0)</f>
        <v>133</v>
      </c>
      <c r="S25" s="198">
        <f ca="1">VLOOKUP(INDIRECT("A"&amp;ROW()),收益表!$A$16:$U$10014,21,0)</f>
        <v>3</v>
      </c>
      <c r="T25" s="200" t="s">
        <v>93</v>
      </c>
      <c r="U25" s="201"/>
      <c r="V25" s="201"/>
      <c r="W25" s="202"/>
    </row>
    <row r="26" s="127" customFormat="1" spans="1:23">
      <c r="A26" s="29">
        <v>45590</v>
      </c>
      <c r="B26" s="165" t="s">
        <v>94</v>
      </c>
      <c r="C26" s="165" t="s">
        <v>86</v>
      </c>
      <c r="D26" s="166">
        <v>0.0222</v>
      </c>
      <c r="E26" s="167">
        <v>0.0024</v>
      </c>
      <c r="F26" s="168"/>
      <c r="G26" s="169"/>
      <c r="H26" s="169"/>
      <c r="I26" s="35">
        <v>0.1</v>
      </c>
      <c r="J26" s="35">
        <f>(1+I26)*J25</f>
        <v>1.21</v>
      </c>
      <c r="K26" s="35">
        <v>0.1</v>
      </c>
      <c r="L26" s="35">
        <f>(1+K26)*L25</f>
        <v>1.21</v>
      </c>
      <c r="M26" s="36"/>
      <c r="N26" s="36"/>
      <c r="O26" s="36"/>
      <c r="P26" s="36"/>
      <c r="Q26" s="203">
        <f ca="1">S26/R26</f>
        <v>0.00523560209424084</v>
      </c>
      <c r="R26" s="204">
        <f ca="1">VLOOKUP(INDIRECT("A"&amp;ROW()),收益表!$A$16:$U$10014,20,0)</f>
        <v>191</v>
      </c>
      <c r="S26" s="204">
        <f ca="1">VLOOKUP(INDIRECT("A"&amp;ROW()),收益表!$A$16:$U$10014,21,0)</f>
        <v>1</v>
      </c>
      <c r="T26" s="194"/>
      <c r="U26" s="195"/>
      <c r="V26" s="195"/>
      <c r="W26" s="196"/>
    </row>
    <row r="27" s="127" customFormat="1" spans="1:23">
      <c r="A27" s="29"/>
      <c r="B27" s="38" t="s">
        <v>95</v>
      </c>
      <c r="C27" s="38" t="s">
        <v>96</v>
      </c>
      <c r="D27" s="39">
        <v>0.018</v>
      </c>
      <c r="E27" s="170" t="s">
        <v>92</v>
      </c>
      <c r="F27" s="171" t="s">
        <v>92</v>
      </c>
      <c r="G27" s="172" t="s">
        <v>92</v>
      </c>
      <c r="H27" s="173">
        <v>0.0177</v>
      </c>
      <c r="I27" s="35"/>
      <c r="J27" s="35"/>
      <c r="K27" s="35"/>
      <c r="L27" s="35"/>
      <c r="M27" s="36"/>
      <c r="N27" s="36"/>
      <c r="O27" s="36"/>
      <c r="P27" s="36"/>
      <c r="Q27" s="205"/>
      <c r="R27" s="193"/>
      <c r="S27" s="193"/>
      <c r="T27" s="194"/>
      <c r="U27" s="195"/>
      <c r="V27" s="195"/>
      <c r="W27" s="196"/>
    </row>
    <row r="28" s="127" customFormat="1" spans="1:23">
      <c r="A28" s="71">
        <v>45593</v>
      </c>
      <c r="B28" s="14"/>
      <c r="C28" s="163"/>
      <c r="D28" s="30"/>
      <c r="E28" s="164"/>
      <c r="F28" s="32"/>
      <c r="G28" s="33"/>
      <c r="H28" s="33"/>
      <c r="I28" s="35"/>
      <c r="J28" s="35"/>
      <c r="K28" s="35"/>
      <c r="L28" s="35"/>
      <c r="M28" s="36"/>
      <c r="N28" s="36"/>
      <c r="O28" s="36"/>
      <c r="P28" s="36"/>
      <c r="Q28" s="199">
        <f ca="1">S28/R28</f>
        <v>0.00340136054421769</v>
      </c>
      <c r="R28" s="198">
        <f ca="1">VLOOKUP(INDIRECT("A"&amp;ROW()),收益表!$A$16:$U$10014,20,0)</f>
        <v>294</v>
      </c>
      <c r="S28" s="198">
        <f ca="1">VLOOKUP(INDIRECT("A"&amp;ROW()),收益表!$A$16:$U$10014,21,0)</f>
        <v>1</v>
      </c>
      <c r="T28" s="194"/>
      <c r="U28" s="195"/>
      <c r="V28" s="195"/>
      <c r="W28" s="196"/>
    </row>
    <row r="29" s="127" customFormat="1" spans="1:23">
      <c r="A29" s="29">
        <v>45594</v>
      </c>
      <c r="B29" s="72" t="s">
        <v>97</v>
      </c>
      <c r="C29" s="72" t="s">
        <v>98</v>
      </c>
      <c r="D29" s="42">
        <v>0.0488</v>
      </c>
      <c r="E29" s="174" t="s">
        <v>99</v>
      </c>
      <c r="F29" s="41"/>
      <c r="G29" s="35"/>
      <c r="H29" s="35"/>
      <c r="I29" s="35">
        <v>0.0724</v>
      </c>
      <c r="J29" s="35">
        <f>(1+I29)*J26</f>
        <v>1.297604</v>
      </c>
      <c r="K29" s="35">
        <v>0.0724</v>
      </c>
      <c r="L29" s="35">
        <f>(1+K29)*L26</f>
        <v>1.297604</v>
      </c>
      <c r="M29" s="36"/>
      <c r="N29" s="36"/>
      <c r="O29" s="36"/>
      <c r="P29" s="36"/>
      <c r="Q29" s="199">
        <f ca="1">S29/R29</f>
        <v>0.125</v>
      </c>
      <c r="R29" s="198">
        <f ca="1">VLOOKUP(INDIRECT("A"&amp;ROW()),收益表!$A$16:$U$10014,20,0)</f>
        <v>152</v>
      </c>
      <c r="S29" s="198">
        <f ca="1">VLOOKUP(INDIRECT("A"&amp;ROW()),收益表!$A$16:$U$10014,21,0)</f>
        <v>19</v>
      </c>
      <c r="T29" s="194"/>
      <c r="U29" s="195"/>
      <c r="V29" s="195"/>
      <c r="W29" s="196"/>
    </row>
    <row r="30" s="126" customFormat="1" spans="1:23">
      <c r="A30" s="162">
        <v>45595</v>
      </c>
      <c r="B30" s="72" t="s">
        <v>100</v>
      </c>
      <c r="C30" s="72" t="s">
        <v>98</v>
      </c>
      <c r="D30" s="42">
        <v>0.0868</v>
      </c>
      <c r="E30" s="174">
        <v>0.026</v>
      </c>
      <c r="F30" s="41" t="s">
        <v>101</v>
      </c>
      <c r="G30" s="35"/>
      <c r="H30" s="35"/>
      <c r="I30" s="35">
        <v>0.026</v>
      </c>
      <c r="J30" s="35">
        <f>(1+I30)*J29</f>
        <v>1.331341704</v>
      </c>
      <c r="K30" s="35">
        <v>0.026</v>
      </c>
      <c r="L30" s="35">
        <f>(1+K30)*L29</f>
        <v>1.331341704</v>
      </c>
      <c r="M30" s="36"/>
      <c r="N30" s="36"/>
      <c r="O30" s="36"/>
      <c r="P30" s="36"/>
      <c r="Q30" s="203">
        <f ca="1">S30/R30</f>
        <v>0.0412371134020619</v>
      </c>
      <c r="R30" s="204">
        <f ca="1">VLOOKUP(INDIRECT("A"&amp;ROW()),收益表!$A$16:$U$10014,20,0)</f>
        <v>194</v>
      </c>
      <c r="S30" s="204">
        <f ca="1">VLOOKUP(INDIRECT("A"&amp;ROW()),收益表!$A$16:$U$10014,21,0)</f>
        <v>8</v>
      </c>
      <c r="T30" s="194"/>
      <c r="U30" s="195"/>
      <c r="V30" s="195"/>
      <c r="W30" s="196"/>
    </row>
    <row r="31" s="126" customFormat="1" spans="1:23">
      <c r="A31" s="162"/>
      <c r="B31" s="165" t="s">
        <v>102</v>
      </c>
      <c r="C31" s="165" t="s">
        <v>88</v>
      </c>
      <c r="D31" s="166">
        <v>0.0476</v>
      </c>
      <c r="E31" s="167" t="s">
        <v>89</v>
      </c>
      <c r="F31" s="168"/>
      <c r="G31" s="169"/>
      <c r="H31" s="169"/>
      <c r="I31" s="35"/>
      <c r="J31" s="35"/>
      <c r="K31" s="35"/>
      <c r="L31" s="35"/>
      <c r="M31" s="36"/>
      <c r="N31" s="36"/>
      <c r="O31" s="36"/>
      <c r="P31" s="36"/>
      <c r="Q31" s="205"/>
      <c r="R31" s="193"/>
      <c r="S31" s="193"/>
      <c r="T31" s="194"/>
      <c r="U31" s="195"/>
      <c r="V31" s="195"/>
      <c r="W31" s="196"/>
    </row>
    <row r="32" s="127" customFormat="1" spans="1:23">
      <c r="A32" s="162">
        <v>45596</v>
      </c>
      <c r="B32" s="38" t="s">
        <v>103</v>
      </c>
      <c r="C32" s="38" t="s">
        <v>104</v>
      </c>
      <c r="D32" s="39">
        <v>-0.04</v>
      </c>
      <c r="E32" s="170" t="s">
        <v>92</v>
      </c>
      <c r="F32" s="175">
        <v>-0.0251</v>
      </c>
      <c r="G32" s="176">
        <v>-0.0776</v>
      </c>
      <c r="H32" s="176">
        <v>0.0284</v>
      </c>
      <c r="I32" s="35">
        <v>0.1</v>
      </c>
      <c r="J32" s="35">
        <f>(1+I32)*J30</f>
        <v>1.4644758744</v>
      </c>
      <c r="K32" s="35">
        <v>0.1</v>
      </c>
      <c r="L32" s="35">
        <f>(1+K32)*L30</f>
        <v>1.4644758744</v>
      </c>
      <c r="M32" s="36"/>
      <c r="N32" s="36"/>
      <c r="O32" s="36"/>
      <c r="P32" s="36"/>
      <c r="Q32" s="203">
        <f ca="1">S32/R32</f>
        <v>0.0660377358490566</v>
      </c>
      <c r="R32" s="204">
        <f ca="1">VLOOKUP(INDIRECT("A"&amp;ROW()),收益表!$A$16:$U$10014,20,0)</f>
        <v>212</v>
      </c>
      <c r="S32" s="204">
        <f ca="1">VLOOKUP(INDIRECT("A"&amp;ROW()),收益表!$A$16:$U$10014,21,0)</f>
        <v>14</v>
      </c>
      <c r="T32" s="194"/>
      <c r="U32" s="195"/>
      <c r="V32" s="195"/>
      <c r="W32" s="196"/>
    </row>
    <row r="33" s="127" customFormat="1" spans="1:23">
      <c r="A33" s="162">
        <v>45597</v>
      </c>
      <c r="B33" s="68" t="s">
        <v>105</v>
      </c>
      <c r="C33" s="68" t="s">
        <v>98</v>
      </c>
      <c r="D33" s="69">
        <v>0.0026</v>
      </c>
      <c r="E33" s="177">
        <v>-0.0696</v>
      </c>
      <c r="F33" s="175">
        <v>0.0042</v>
      </c>
      <c r="G33" s="176">
        <v>0.0239</v>
      </c>
      <c r="H33" s="176">
        <v>-0.011</v>
      </c>
      <c r="I33" s="101">
        <v>-0.0696</v>
      </c>
      <c r="J33" s="101">
        <f>(1+I33)*J32</f>
        <v>1.36254835354176</v>
      </c>
      <c r="K33" s="101">
        <v>-0.0696</v>
      </c>
      <c r="L33" s="101">
        <f>(1+K33)*L32</f>
        <v>1.36254835354176</v>
      </c>
      <c r="M33" s="188"/>
      <c r="N33" s="188"/>
      <c r="O33" s="188"/>
      <c r="P33" s="188"/>
      <c r="Q33" s="205"/>
      <c r="R33" s="193"/>
      <c r="S33" s="193"/>
      <c r="T33" s="194"/>
      <c r="U33" s="195"/>
      <c r="V33" s="195"/>
      <c r="W33" s="196"/>
    </row>
    <row r="34" s="126" customFormat="1" spans="1:23">
      <c r="A34" s="162">
        <v>45600</v>
      </c>
      <c r="B34" s="68" t="s">
        <v>106</v>
      </c>
      <c r="C34" s="68" t="s">
        <v>98</v>
      </c>
      <c r="D34" s="69">
        <v>0.0094</v>
      </c>
      <c r="E34" s="177">
        <v>-0.0837</v>
      </c>
      <c r="F34" s="175">
        <v>0.066</v>
      </c>
      <c r="G34" s="176">
        <v>0.0095</v>
      </c>
      <c r="H34" s="176">
        <v>0.0519</v>
      </c>
      <c r="I34" s="35">
        <v>0.0081</v>
      </c>
      <c r="J34" s="35">
        <f>(1+I34)*J33</f>
        <v>1.37358499520545</v>
      </c>
      <c r="K34" s="35"/>
      <c r="L34" s="35"/>
      <c r="M34" s="36"/>
      <c r="N34" s="36"/>
      <c r="O34" s="36"/>
      <c r="P34" s="36"/>
      <c r="Q34" s="206">
        <f ca="1">S34/R34</f>
        <v>0.231182795698925</v>
      </c>
      <c r="R34" s="204">
        <f ca="1">VLOOKUP(INDIRECT("A"&amp;ROW()),收益表!$A$16:$U$10014,20,0)</f>
        <v>186</v>
      </c>
      <c r="S34" s="204">
        <f ca="1">VLOOKUP(INDIRECT("A"&amp;ROW()),收益表!$A$16:$U$10014,21,0)</f>
        <v>43</v>
      </c>
      <c r="T34" s="194"/>
      <c r="U34" s="195"/>
      <c r="V34" s="195"/>
      <c r="W34" s="196"/>
    </row>
    <row r="35" s="126" customFormat="1" spans="1:23">
      <c r="A35" s="162"/>
      <c r="B35" s="38" t="s">
        <v>107</v>
      </c>
      <c r="C35" s="38" t="s">
        <v>98</v>
      </c>
      <c r="D35" s="39">
        <v>-0.0637</v>
      </c>
      <c r="E35" s="178" t="s">
        <v>92</v>
      </c>
      <c r="F35" s="175">
        <v>0.0179</v>
      </c>
      <c r="G35" s="35" t="s">
        <v>92</v>
      </c>
      <c r="H35" s="176">
        <v>-0.0196</v>
      </c>
      <c r="I35" s="35"/>
      <c r="J35" s="35"/>
      <c r="K35" s="35"/>
      <c r="L35" s="35"/>
      <c r="M35" s="36"/>
      <c r="N35" s="36"/>
      <c r="O35" s="36"/>
      <c r="P35" s="36"/>
      <c r="Q35" s="207"/>
      <c r="R35" s="208"/>
      <c r="S35" s="208"/>
      <c r="T35" s="194"/>
      <c r="U35" s="195"/>
      <c r="V35" s="195"/>
      <c r="W35" s="196"/>
    </row>
    <row r="36" s="126" customFormat="1" spans="1:23">
      <c r="A36" s="162"/>
      <c r="B36" s="165" t="s">
        <v>108</v>
      </c>
      <c r="C36" s="165" t="s">
        <v>88</v>
      </c>
      <c r="D36" s="166">
        <v>-0.0999</v>
      </c>
      <c r="E36" s="167" t="s">
        <v>92</v>
      </c>
      <c r="F36" s="168"/>
      <c r="G36" s="169"/>
      <c r="H36" s="169"/>
      <c r="I36" s="35"/>
      <c r="J36" s="35"/>
      <c r="K36" s="35"/>
      <c r="L36" s="35"/>
      <c r="M36" s="36"/>
      <c r="N36" s="36"/>
      <c r="O36" s="36"/>
      <c r="P36" s="36"/>
      <c r="Q36" s="209"/>
      <c r="R36" s="193"/>
      <c r="S36" s="193"/>
      <c r="T36" s="194"/>
      <c r="U36" s="195"/>
      <c r="V36" s="195"/>
      <c r="W36" s="196"/>
    </row>
    <row r="37" s="126" customFormat="1" spans="1:23">
      <c r="A37" s="29">
        <v>45601</v>
      </c>
      <c r="B37" s="165" t="s">
        <v>109</v>
      </c>
      <c r="C37" s="165" t="s">
        <v>86</v>
      </c>
      <c r="D37" s="166">
        <v>0.0258</v>
      </c>
      <c r="E37" s="167" t="s">
        <v>92</v>
      </c>
      <c r="F37" s="168"/>
      <c r="G37" s="169"/>
      <c r="H37" s="169"/>
      <c r="I37" s="33"/>
      <c r="J37" s="33"/>
      <c r="K37" s="33"/>
      <c r="L37" s="33"/>
      <c r="M37" s="7"/>
      <c r="N37" s="7"/>
      <c r="O37" s="7"/>
      <c r="P37" s="7"/>
      <c r="Q37" s="199">
        <f ca="1">S37/R37</f>
        <v>0.00917431192660551</v>
      </c>
      <c r="R37" s="198">
        <f ca="1">VLOOKUP(INDIRECT("A"&amp;ROW()),收益表!$A$16:$U$10014,20,0)</f>
        <v>218</v>
      </c>
      <c r="S37" s="198">
        <f ca="1">VLOOKUP(INDIRECT("A"&amp;ROW()),收益表!$A$16:$U$10014,21,0)</f>
        <v>2</v>
      </c>
      <c r="T37" s="194"/>
      <c r="U37" s="195"/>
      <c r="V37" s="195"/>
      <c r="W37" s="196"/>
    </row>
    <row r="38" s="127" customFormat="1" spans="1:23">
      <c r="A38" s="162">
        <v>45602</v>
      </c>
      <c r="B38" s="165" t="s">
        <v>110</v>
      </c>
      <c r="C38" s="165" t="s">
        <v>88</v>
      </c>
      <c r="D38" s="166">
        <v>0.028</v>
      </c>
      <c r="E38" s="167">
        <v>0.0011</v>
      </c>
      <c r="F38" s="168"/>
      <c r="G38" s="169"/>
      <c r="H38" s="169"/>
      <c r="I38" s="33"/>
      <c r="J38" s="33"/>
      <c r="K38" s="33"/>
      <c r="L38" s="33"/>
      <c r="M38" s="7"/>
      <c r="N38" s="7"/>
      <c r="O38" s="7"/>
      <c r="P38" s="7"/>
      <c r="Q38" s="199">
        <f ca="1">S38/R38</f>
        <v>0.0386740331491713</v>
      </c>
      <c r="R38" s="198">
        <f ca="1">VLOOKUP(INDIRECT("A"&amp;ROW()),收益表!$A$16:$U$10014,20,0)</f>
        <v>181</v>
      </c>
      <c r="S38" s="198">
        <f ca="1">VLOOKUP(INDIRECT("A"&amp;ROW()),收益表!$A$16:$U$10014,21,0)</f>
        <v>7</v>
      </c>
      <c r="T38" s="194"/>
      <c r="U38" s="195"/>
      <c r="V38" s="195"/>
      <c r="W38" s="196"/>
    </row>
    <row r="39" s="127" customFormat="1" spans="1:23">
      <c r="A39" s="162">
        <v>45603</v>
      </c>
      <c r="B39" s="165" t="s">
        <v>111</v>
      </c>
      <c r="C39" s="165" t="s">
        <v>88</v>
      </c>
      <c r="D39" s="166">
        <v>-0.0225</v>
      </c>
      <c r="E39" s="167">
        <v>0.0126</v>
      </c>
      <c r="F39" s="168"/>
      <c r="G39" s="169"/>
      <c r="H39" s="169"/>
      <c r="I39" s="35">
        <v>0.1</v>
      </c>
      <c r="J39" s="35">
        <f>(1+I39)*J34</f>
        <v>1.51094349472599</v>
      </c>
      <c r="K39" s="35">
        <v>0.1</v>
      </c>
      <c r="L39" s="35">
        <f>(1+K39)*L33</f>
        <v>1.49880318889594</v>
      </c>
      <c r="M39" s="36"/>
      <c r="N39" s="36"/>
      <c r="O39" s="36"/>
      <c r="P39" s="36"/>
      <c r="Q39" s="203">
        <f ca="1">S39/R39</f>
        <v>0.0429184549356223</v>
      </c>
      <c r="R39" s="204">
        <f ca="1">VLOOKUP(INDIRECT("A"&amp;ROW()),收益表!$A$16:$U$10014,20,0)</f>
        <v>233</v>
      </c>
      <c r="S39" s="204">
        <f ca="1">VLOOKUP(INDIRECT("A"&amp;ROW()),收益表!$A$16:$U$10014,21,0)</f>
        <v>10</v>
      </c>
      <c r="T39" s="194"/>
      <c r="U39" s="195"/>
      <c r="V39" s="195"/>
      <c r="W39" s="196"/>
    </row>
    <row r="40" s="127" customFormat="1" spans="1:23">
      <c r="A40" s="162"/>
      <c r="B40" s="38" t="s">
        <v>112</v>
      </c>
      <c r="C40" s="38" t="s">
        <v>98</v>
      </c>
      <c r="D40" s="39">
        <v>0.0193</v>
      </c>
      <c r="E40" s="178" t="s">
        <v>92</v>
      </c>
      <c r="F40" s="65" t="s">
        <v>89</v>
      </c>
      <c r="G40" s="173">
        <v>-0.0328</v>
      </c>
      <c r="H40" s="173">
        <v>-0.0254</v>
      </c>
      <c r="I40" s="35"/>
      <c r="J40" s="35"/>
      <c r="K40" s="35"/>
      <c r="L40" s="35"/>
      <c r="M40" s="36"/>
      <c r="N40" s="36"/>
      <c r="O40" s="36"/>
      <c r="P40" s="36"/>
      <c r="Q40" s="205"/>
      <c r="R40" s="193"/>
      <c r="S40" s="193"/>
      <c r="T40" s="194"/>
      <c r="U40" s="195"/>
      <c r="V40" s="195"/>
      <c r="W40" s="196"/>
    </row>
    <row r="41" s="127" customFormat="1" spans="1:23">
      <c r="A41" s="162">
        <v>45604</v>
      </c>
      <c r="B41" s="72" t="s">
        <v>113</v>
      </c>
      <c r="C41" s="72" t="s">
        <v>114</v>
      </c>
      <c r="D41" s="42">
        <v>0.0213</v>
      </c>
      <c r="E41" s="174" t="s">
        <v>115</v>
      </c>
      <c r="F41" s="41"/>
      <c r="G41" s="35"/>
      <c r="H41" s="35"/>
      <c r="I41" s="35">
        <v>0.09</v>
      </c>
      <c r="J41" s="35">
        <f>(1+I41)*J39</f>
        <v>1.64692840925133</v>
      </c>
      <c r="K41" s="35">
        <v>0.09</v>
      </c>
      <c r="L41" s="35">
        <f>(1+K41)*L39</f>
        <v>1.63369547589657</v>
      </c>
      <c r="M41" s="36"/>
      <c r="N41" s="36"/>
      <c r="O41" s="36"/>
      <c r="P41" s="36"/>
      <c r="Q41" s="203">
        <f ca="1">S41/R41</f>
        <v>0.0387096774193548</v>
      </c>
      <c r="R41" s="204">
        <f ca="1">VLOOKUP(INDIRECT("A"&amp;ROW()),收益表!$A$16:$U$10014,20,0)</f>
        <v>155</v>
      </c>
      <c r="S41" s="204">
        <f ca="1">VLOOKUP(INDIRECT("A"&amp;ROW()),收益表!$A$16:$U$10014,21,0)</f>
        <v>6</v>
      </c>
      <c r="T41" s="194"/>
      <c r="U41" s="195"/>
      <c r="V41" s="195"/>
      <c r="W41" s="196"/>
    </row>
    <row r="42" s="127" customFormat="1" spans="1:23">
      <c r="A42" s="162"/>
      <c r="B42" s="38" t="s">
        <v>116</v>
      </c>
      <c r="C42" s="38" t="s">
        <v>98</v>
      </c>
      <c r="D42" s="39">
        <v>-0.0492</v>
      </c>
      <c r="E42" s="170" t="s">
        <v>92</v>
      </c>
      <c r="F42" s="179" t="s">
        <v>117</v>
      </c>
      <c r="G42" s="101" t="s">
        <v>89</v>
      </c>
      <c r="H42" s="173">
        <v>-0.0119</v>
      </c>
      <c r="I42" s="35"/>
      <c r="J42" s="35"/>
      <c r="K42" s="35"/>
      <c r="L42" s="35"/>
      <c r="M42" s="36"/>
      <c r="N42" s="36"/>
      <c r="O42" s="36"/>
      <c r="P42" s="36"/>
      <c r="Q42" s="210"/>
      <c r="R42" s="208"/>
      <c r="S42" s="208"/>
      <c r="T42" s="194"/>
      <c r="U42" s="195"/>
      <c r="V42" s="195"/>
      <c r="W42" s="196"/>
    </row>
    <row r="43" s="127" customFormat="1" spans="1:23">
      <c r="A43" s="162"/>
      <c r="B43" s="165" t="s">
        <v>118</v>
      </c>
      <c r="C43" s="165" t="s">
        <v>88</v>
      </c>
      <c r="D43" s="166">
        <v>-0.0446</v>
      </c>
      <c r="E43" s="167">
        <v>0.026</v>
      </c>
      <c r="F43" s="168"/>
      <c r="G43" s="169"/>
      <c r="H43" s="169"/>
      <c r="I43" s="35"/>
      <c r="J43" s="35"/>
      <c r="K43" s="35"/>
      <c r="L43" s="35"/>
      <c r="M43" s="36"/>
      <c r="N43" s="36"/>
      <c r="O43" s="36"/>
      <c r="P43" s="36"/>
      <c r="Q43" s="205"/>
      <c r="R43" s="193"/>
      <c r="S43" s="193"/>
      <c r="T43" s="194"/>
      <c r="U43" s="195"/>
      <c r="V43" s="195"/>
      <c r="W43" s="196"/>
    </row>
    <row r="44" s="126" customFormat="1" spans="1:23">
      <c r="A44" s="162">
        <v>45607</v>
      </c>
      <c r="B44" s="165" t="s">
        <v>119</v>
      </c>
      <c r="C44" s="165" t="s">
        <v>88</v>
      </c>
      <c r="D44" s="166">
        <v>-0.0029</v>
      </c>
      <c r="E44" s="167">
        <v>-0.0944</v>
      </c>
      <c r="F44" s="168"/>
      <c r="G44" s="169"/>
      <c r="H44" s="169"/>
      <c r="I44" s="35">
        <v>0.0054</v>
      </c>
      <c r="J44" s="35">
        <f>(1+I44)*J41</f>
        <v>1.65582182266129</v>
      </c>
      <c r="K44" s="35">
        <v>0.0054</v>
      </c>
      <c r="L44" s="35">
        <f>(1+K44)*L41</f>
        <v>1.64251743146641</v>
      </c>
      <c r="M44" s="36"/>
      <c r="N44" s="36"/>
      <c r="O44" s="36"/>
      <c r="P44" s="36"/>
      <c r="Q44" s="203">
        <f ca="1">S44/R44</f>
        <v>0.0892018779342723</v>
      </c>
      <c r="R44" s="204">
        <f ca="1">VLOOKUP(INDIRECT("A"&amp;ROW()),收益表!$A$16:$U$10014,20,0)</f>
        <v>213</v>
      </c>
      <c r="S44" s="204">
        <f ca="1">VLOOKUP(INDIRECT("A"&amp;ROW()),收益表!$A$16:$U$10014,21,0)</f>
        <v>19</v>
      </c>
      <c r="T44" s="194"/>
      <c r="U44" s="195"/>
      <c r="V44" s="195"/>
      <c r="W44" s="196"/>
    </row>
    <row r="45" s="126" customFormat="1" spans="1:23">
      <c r="A45" s="162"/>
      <c r="B45" s="165" t="s">
        <v>120</v>
      </c>
      <c r="C45" s="165" t="s">
        <v>86</v>
      </c>
      <c r="D45" s="166">
        <v>-0.0423</v>
      </c>
      <c r="E45" s="167">
        <v>-0.0204</v>
      </c>
      <c r="F45" s="168"/>
      <c r="G45" s="169"/>
      <c r="H45" s="169"/>
      <c r="I45" s="35"/>
      <c r="J45" s="35"/>
      <c r="K45" s="35"/>
      <c r="L45" s="35"/>
      <c r="M45" s="36"/>
      <c r="N45" s="36"/>
      <c r="O45" s="36"/>
      <c r="P45" s="36"/>
      <c r="Q45" s="210"/>
      <c r="R45" s="208"/>
      <c r="S45" s="208"/>
      <c r="T45" s="194"/>
      <c r="U45" s="195"/>
      <c r="V45" s="195"/>
      <c r="W45" s="196"/>
    </row>
    <row r="46" s="126" customFormat="1" spans="1:23">
      <c r="A46" s="162"/>
      <c r="B46" s="72" t="s">
        <v>121</v>
      </c>
      <c r="C46" s="72" t="s">
        <v>98</v>
      </c>
      <c r="D46" s="42">
        <v>-0.0449</v>
      </c>
      <c r="E46" s="174">
        <v>0.0054</v>
      </c>
      <c r="F46" s="175">
        <v>-0.0521</v>
      </c>
      <c r="G46" s="35" t="s">
        <v>92</v>
      </c>
      <c r="H46" s="35"/>
      <c r="I46" s="35"/>
      <c r="J46" s="35"/>
      <c r="K46" s="35"/>
      <c r="L46" s="35"/>
      <c r="M46" s="36"/>
      <c r="N46" s="36"/>
      <c r="O46" s="36"/>
      <c r="P46" s="36"/>
      <c r="Q46" s="210"/>
      <c r="R46" s="208"/>
      <c r="S46" s="208"/>
      <c r="T46" s="194"/>
      <c r="U46" s="195"/>
      <c r="V46" s="195"/>
      <c r="W46" s="196"/>
    </row>
    <row r="47" s="126" customFormat="1" spans="1:23">
      <c r="A47" s="162"/>
      <c r="B47" s="165" t="s">
        <v>122</v>
      </c>
      <c r="C47" s="165" t="s">
        <v>86</v>
      </c>
      <c r="D47" s="166">
        <v>-0.0147</v>
      </c>
      <c r="E47" s="167" t="s">
        <v>89</v>
      </c>
      <c r="F47" s="168"/>
      <c r="G47" s="169"/>
      <c r="H47" s="169"/>
      <c r="I47" s="35"/>
      <c r="J47" s="35"/>
      <c r="K47" s="35"/>
      <c r="L47" s="35"/>
      <c r="M47" s="36"/>
      <c r="N47" s="36"/>
      <c r="O47" s="36"/>
      <c r="P47" s="36"/>
      <c r="Q47" s="205"/>
      <c r="R47" s="193"/>
      <c r="S47" s="193"/>
      <c r="T47" s="194"/>
      <c r="U47" s="195"/>
      <c r="V47" s="195"/>
      <c r="W47" s="196"/>
    </row>
    <row r="48" s="127" customFormat="1" spans="1:23">
      <c r="A48" s="162">
        <v>45608</v>
      </c>
      <c r="B48" s="38" t="s">
        <v>123</v>
      </c>
      <c r="C48" s="38" t="s">
        <v>96</v>
      </c>
      <c r="D48" s="39">
        <v>0.0674</v>
      </c>
      <c r="E48" s="178" t="s">
        <v>92</v>
      </c>
      <c r="F48" s="175">
        <v>-0.0886</v>
      </c>
      <c r="G48" s="176">
        <v>-0.0201</v>
      </c>
      <c r="H48" s="176">
        <v>-0.039</v>
      </c>
      <c r="I48" s="35">
        <v>0.1</v>
      </c>
      <c r="J48" s="35">
        <f>(1+I48)*J44</f>
        <v>1.82140400492742</v>
      </c>
      <c r="K48" s="35">
        <v>0.1</v>
      </c>
      <c r="L48" s="35">
        <f>(1+K48)*L44</f>
        <v>1.80676917461305</v>
      </c>
      <c r="M48" s="36"/>
      <c r="N48" s="36"/>
      <c r="O48" s="36"/>
      <c r="P48" s="36"/>
      <c r="Q48" s="206">
        <f ca="1">S48/R48</f>
        <v>0.176991150442478</v>
      </c>
      <c r="R48" s="204">
        <f ca="1">VLOOKUP(INDIRECT("A"&amp;ROW()),收益表!$A$16:$U$10014,20,0)</f>
        <v>113</v>
      </c>
      <c r="S48" s="204">
        <f ca="1">VLOOKUP(INDIRECT("A"&amp;ROW()),收益表!$A$16:$U$10014,21,0)</f>
        <v>20</v>
      </c>
      <c r="T48" s="194"/>
      <c r="U48" s="195"/>
      <c r="V48" s="195"/>
      <c r="W48" s="196"/>
    </row>
    <row r="49" s="127" customFormat="1" spans="1:23">
      <c r="A49" s="162"/>
      <c r="B49" s="165" t="s">
        <v>124</v>
      </c>
      <c r="C49" s="165" t="s">
        <v>88</v>
      </c>
      <c r="D49" s="166">
        <v>0.0024</v>
      </c>
      <c r="E49" s="167">
        <v>0.0506</v>
      </c>
      <c r="F49" s="168"/>
      <c r="G49" s="169"/>
      <c r="H49" s="169"/>
      <c r="I49" s="35"/>
      <c r="J49" s="35"/>
      <c r="K49" s="35"/>
      <c r="L49" s="35"/>
      <c r="M49" s="36"/>
      <c r="N49" s="36"/>
      <c r="O49" s="36"/>
      <c r="P49" s="36"/>
      <c r="Q49" s="209"/>
      <c r="R49" s="193"/>
      <c r="S49" s="193"/>
      <c r="T49" s="194"/>
      <c r="U49" s="195"/>
      <c r="V49" s="195"/>
      <c r="W49" s="196"/>
    </row>
    <row r="50" s="126" customFormat="1" spans="1:23">
      <c r="A50" s="162">
        <v>45609</v>
      </c>
      <c r="B50" s="45" t="s">
        <v>125</v>
      </c>
      <c r="C50" s="45" t="s">
        <v>98</v>
      </c>
      <c r="D50" s="46">
        <v>0.0913</v>
      </c>
      <c r="E50" s="180" t="s">
        <v>89</v>
      </c>
      <c r="F50" s="41" t="s">
        <v>101</v>
      </c>
      <c r="G50" s="101"/>
      <c r="H50" s="101"/>
      <c r="I50" s="101">
        <v>-0.018</v>
      </c>
      <c r="J50" s="101">
        <f>(1+I50)*J48</f>
        <v>1.78861873283873</v>
      </c>
      <c r="K50" s="101"/>
      <c r="L50" s="101"/>
      <c r="M50" s="188"/>
      <c r="N50" s="188"/>
      <c r="O50" s="188"/>
      <c r="P50" s="188"/>
      <c r="Q50" s="206">
        <f ca="1">S50/R50</f>
        <v>0.280898876404494</v>
      </c>
      <c r="R50" s="204">
        <f ca="1">VLOOKUP(INDIRECT("A"&amp;ROW()),收益表!$A$16:$U$10014,20,0)</f>
        <v>89</v>
      </c>
      <c r="S50" s="204">
        <f ca="1">VLOOKUP(INDIRECT("A"&amp;ROW()),收益表!$A$16:$U$10014,21,0)</f>
        <v>25</v>
      </c>
      <c r="T50" s="194"/>
      <c r="U50" s="195"/>
      <c r="V50" s="195"/>
      <c r="W50" s="196"/>
    </row>
    <row r="51" s="126" customFormat="1" spans="1:23">
      <c r="A51" s="162"/>
      <c r="B51" s="165" t="s">
        <v>126</v>
      </c>
      <c r="C51" s="165" t="s">
        <v>88</v>
      </c>
      <c r="D51" s="166">
        <v>0.0971</v>
      </c>
      <c r="E51" s="167" t="s">
        <v>89</v>
      </c>
      <c r="F51" s="168"/>
      <c r="G51" s="169"/>
      <c r="H51" s="169"/>
      <c r="I51" s="101"/>
      <c r="J51" s="101"/>
      <c r="K51" s="101"/>
      <c r="L51" s="101"/>
      <c r="M51" s="188"/>
      <c r="N51" s="188"/>
      <c r="O51" s="188"/>
      <c r="P51" s="188"/>
      <c r="Q51" s="207"/>
      <c r="R51" s="208"/>
      <c r="S51" s="208"/>
      <c r="T51" s="194"/>
      <c r="U51" s="195"/>
      <c r="V51" s="195"/>
      <c r="W51" s="196"/>
    </row>
    <row r="52" s="126" customFormat="1" spans="1:23">
      <c r="A52" s="162"/>
      <c r="B52" s="165" t="s">
        <v>127</v>
      </c>
      <c r="C52" s="165" t="s">
        <v>88</v>
      </c>
      <c r="D52" s="166">
        <v>0.0522</v>
      </c>
      <c r="E52" s="167">
        <v>0.0098</v>
      </c>
      <c r="F52" s="168"/>
      <c r="G52" s="169"/>
      <c r="H52" s="169"/>
      <c r="I52" s="101"/>
      <c r="J52" s="101"/>
      <c r="K52" s="101"/>
      <c r="L52" s="101"/>
      <c r="M52" s="188"/>
      <c r="N52" s="188"/>
      <c r="O52" s="188"/>
      <c r="P52" s="188"/>
      <c r="Q52" s="207"/>
      <c r="R52" s="208"/>
      <c r="S52" s="208"/>
      <c r="T52" s="194"/>
      <c r="U52" s="195"/>
      <c r="V52" s="195"/>
      <c r="W52" s="196"/>
    </row>
    <row r="53" s="126" customFormat="1" spans="1:23">
      <c r="A53" s="162"/>
      <c r="B53" s="181" t="s">
        <v>128</v>
      </c>
      <c r="C53" s="181" t="s">
        <v>70</v>
      </c>
      <c r="D53" s="182">
        <v>0.0235</v>
      </c>
      <c r="E53" s="183">
        <v>-0.0508</v>
      </c>
      <c r="F53" s="168"/>
      <c r="G53" s="169"/>
      <c r="H53" s="169"/>
      <c r="I53" s="101"/>
      <c r="J53" s="101"/>
      <c r="K53" s="101"/>
      <c r="L53" s="101"/>
      <c r="M53" s="188"/>
      <c r="N53" s="188"/>
      <c r="O53" s="188"/>
      <c r="P53" s="188"/>
      <c r="Q53" s="207"/>
      <c r="R53" s="208"/>
      <c r="S53" s="208"/>
      <c r="T53" s="194"/>
      <c r="U53" s="195"/>
      <c r="V53" s="195"/>
      <c r="W53" s="196"/>
    </row>
    <row r="54" s="126" customFormat="1" spans="1:23">
      <c r="A54" s="162"/>
      <c r="B54" s="38" t="s">
        <v>129</v>
      </c>
      <c r="C54" s="38" t="s">
        <v>98</v>
      </c>
      <c r="D54" s="39">
        <v>0.0421</v>
      </c>
      <c r="E54" s="178" t="s">
        <v>92</v>
      </c>
      <c r="F54" s="65" t="s">
        <v>89</v>
      </c>
      <c r="G54" s="176">
        <v>-0.0829</v>
      </c>
      <c r="H54" s="176">
        <v>-0.0771</v>
      </c>
      <c r="I54" s="101"/>
      <c r="J54" s="101"/>
      <c r="K54" s="101"/>
      <c r="L54" s="101"/>
      <c r="M54" s="188"/>
      <c r="N54" s="188"/>
      <c r="O54" s="188"/>
      <c r="P54" s="188"/>
      <c r="Q54" s="207"/>
      <c r="R54" s="208"/>
      <c r="S54" s="208"/>
      <c r="T54" s="194"/>
      <c r="U54" s="195"/>
      <c r="V54" s="195"/>
      <c r="W54" s="196"/>
    </row>
    <row r="55" s="126" customFormat="1" spans="1:23">
      <c r="A55" s="162"/>
      <c r="B55" s="181" t="s">
        <v>130</v>
      </c>
      <c r="C55" s="181" t="s">
        <v>70</v>
      </c>
      <c r="D55" s="182">
        <v>-0.0594</v>
      </c>
      <c r="E55" s="183">
        <v>-0.012</v>
      </c>
      <c r="F55" s="168"/>
      <c r="G55" s="169"/>
      <c r="H55" s="169"/>
      <c r="I55" s="101"/>
      <c r="J55" s="101"/>
      <c r="K55" s="101"/>
      <c r="L55" s="101"/>
      <c r="M55" s="188"/>
      <c r="N55" s="188"/>
      <c r="O55" s="188"/>
      <c r="P55" s="188"/>
      <c r="Q55" s="207"/>
      <c r="R55" s="208"/>
      <c r="S55" s="208"/>
      <c r="T55" s="194"/>
      <c r="U55" s="195"/>
      <c r="V55" s="195"/>
      <c r="W55" s="196"/>
    </row>
    <row r="56" s="126" customFormat="1" spans="1:23">
      <c r="A56" s="162"/>
      <c r="B56" s="68" t="s">
        <v>131</v>
      </c>
      <c r="C56" s="68" t="s">
        <v>98</v>
      </c>
      <c r="D56" s="69">
        <v>-0.0569</v>
      </c>
      <c r="E56" s="177">
        <v>-0.0318</v>
      </c>
      <c r="F56" s="175">
        <v>-0.0467</v>
      </c>
      <c r="G56" s="176">
        <v>-0.0181</v>
      </c>
      <c r="H56" s="176">
        <v>-0.0462</v>
      </c>
      <c r="I56" s="101"/>
      <c r="J56" s="101"/>
      <c r="K56" s="101"/>
      <c r="L56" s="101"/>
      <c r="M56" s="188"/>
      <c r="N56" s="188"/>
      <c r="O56" s="188"/>
      <c r="P56" s="188"/>
      <c r="Q56" s="209"/>
      <c r="R56" s="193"/>
      <c r="S56" s="193"/>
      <c r="T56" s="194"/>
      <c r="U56" s="195"/>
      <c r="V56" s="195"/>
      <c r="W56" s="196"/>
    </row>
    <row r="57" s="126" customFormat="1" spans="1:23">
      <c r="A57" s="29">
        <v>45610</v>
      </c>
      <c r="B57" s="165" t="s">
        <v>132</v>
      </c>
      <c r="C57" s="165" t="s">
        <v>86</v>
      </c>
      <c r="D57" s="166">
        <v>0.0667</v>
      </c>
      <c r="E57" s="167" t="s">
        <v>89</v>
      </c>
      <c r="F57" s="168"/>
      <c r="G57" s="169"/>
      <c r="H57" s="169"/>
      <c r="I57" s="101">
        <v>-0.1</v>
      </c>
      <c r="J57" s="101">
        <f>(1+I57)*J50</f>
        <v>1.60975685955485</v>
      </c>
      <c r="K57" s="101"/>
      <c r="L57" s="101"/>
      <c r="M57" s="188"/>
      <c r="N57" s="188"/>
      <c r="O57" s="188"/>
      <c r="P57" s="188"/>
      <c r="Q57" s="206">
        <f ca="1">S57/R57</f>
        <v>0.448275862068966</v>
      </c>
      <c r="R57" s="204">
        <f ca="1">VLOOKUP(INDIRECT("A"&amp;ROW()),收益表!$A$16:$U$10014,20,0)</f>
        <v>58</v>
      </c>
      <c r="S57" s="204">
        <f ca="1">VLOOKUP(INDIRECT("A"&amp;ROW()),收益表!$A$16:$U$10014,21,0)</f>
        <v>26</v>
      </c>
      <c r="T57" s="194"/>
      <c r="U57" s="195"/>
      <c r="V57" s="195"/>
      <c r="W57" s="196"/>
    </row>
    <row r="58" s="126" customFormat="1" spans="1:23">
      <c r="A58" s="29"/>
      <c r="B58" s="45" t="s">
        <v>133</v>
      </c>
      <c r="C58" s="45" t="s">
        <v>134</v>
      </c>
      <c r="D58" s="46">
        <v>0.0347</v>
      </c>
      <c r="E58" s="180" t="s">
        <v>89</v>
      </c>
      <c r="F58" s="175">
        <v>-0.0792</v>
      </c>
      <c r="G58" s="176">
        <v>-0.0296</v>
      </c>
      <c r="H58" s="35" t="s">
        <v>92</v>
      </c>
      <c r="I58" s="101"/>
      <c r="J58" s="101"/>
      <c r="K58" s="101"/>
      <c r="L58" s="101"/>
      <c r="M58" s="188"/>
      <c r="N58" s="188"/>
      <c r="O58" s="188"/>
      <c r="P58" s="188"/>
      <c r="Q58" s="207"/>
      <c r="R58" s="208"/>
      <c r="S58" s="208"/>
      <c r="T58" s="194"/>
      <c r="U58" s="195"/>
      <c r="V58" s="195"/>
      <c r="W58" s="196"/>
    </row>
    <row r="59" s="126" customFormat="1" spans="1:23">
      <c r="A59" s="29"/>
      <c r="B59" s="165" t="s">
        <v>135</v>
      </c>
      <c r="C59" s="165" t="s">
        <v>86</v>
      </c>
      <c r="D59" s="166">
        <v>0.0048</v>
      </c>
      <c r="E59" s="167">
        <v>-0.0883</v>
      </c>
      <c r="F59" s="168"/>
      <c r="G59" s="169"/>
      <c r="H59" s="169"/>
      <c r="I59" s="101"/>
      <c r="J59" s="101"/>
      <c r="K59" s="101"/>
      <c r="L59" s="101"/>
      <c r="M59" s="188"/>
      <c r="N59" s="188"/>
      <c r="O59" s="188"/>
      <c r="P59" s="188"/>
      <c r="Q59" s="209"/>
      <c r="R59" s="193"/>
      <c r="S59" s="193"/>
      <c r="T59" s="194"/>
      <c r="U59" s="195"/>
      <c r="V59" s="195"/>
      <c r="W59" s="196"/>
    </row>
    <row r="60" s="126" customFormat="1" spans="1:23">
      <c r="A60" s="71">
        <v>45611</v>
      </c>
      <c r="B60" s="14"/>
      <c r="C60" s="163"/>
      <c r="D60" s="30"/>
      <c r="E60" s="164"/>
      <c r="F60" s="32"/>
      <c r="G60" s="33"/>
      <c r="H60" s="33"/>
      <c r="I60" s="33"/>
      <c r="J60" s="33"/>
      <c r="K60" s="33"/>
      <c r="L60" s="33"/>
      <c r="M60" s="7"/>
      <c r="N60" s="7"/>
      <c r="O60" s="7"/>
      <c r="P60" s="7"/>
      <c r="Q60" s="211">
        <f ca="1" t="shared" ref="Q60:Q65" si="3">S60/R60</f>
        <v>0.666666666666667</v>
      </c>
      <c r="R60" s="198">
        <f ca="1">VLOOKUP(INDIRECT("A"&amp;ROW()),收益表!$A$16:$U$10014,20,0)</f>
        <v>81</v>
      </c>
      <c r="S60" s="198">
        <f ca="1">VLOOKUP(INDIRECT("A"&amp;ROW()),收益表!$A$16:$U$10014,21,0)</f>
        <v>54</v>
      </c>
      <c r="T60" s="194"/>
      <c r="U60" s="195"/>
      <c r="V60" s="195"/>
      <c r="W60" s="196"/>
    </row>
    <row r="61" s="127" customFormat="1" spans="1:23">
      <c r="A61" s="162">
        <v>45614</v>
      </c>
      <c r="B61" s="38" t="s">
        <v>136</v>
      </c>
      <c r="C61" s="38" t="s">
        <v>98</v>
      </c>
      <c r="D61" s="39">
        <v>-0.0035</v>
      </c>
      <c r="E61" s="178" t="s">
        <v>92</v>
      </c>
      <c r="F61" s="65" t="s">
        <v>89</v>
      </c>
      <c r="G61" s="176">
        <v>-0.0186</v>
      </c>
      <c r="H61" s="176">
        <v>-0.0285</v>
      </c>
      <c r="I61" s="35">
        <v>0.1</v>
      </c>
      <c r="J61" s="35">
        <f>(1+I61)*J57</f>
        <v>1.77073254551034</v>
      </c>
      <c r="K61" s="35"/>
      <c r="L61" s="35"/>
      <c r="M61" s="36"/>
      <c r="N61" s="36"/>
      <c r="O61" s="36"/>
      <c r="P61" s="36"/>
      <c r="Q61" s="211">
        <f ca="1" t="shared" si="3"/>
        <v>0.679012345679012</v>
      </c>
      <c r="R61" s="198">
        <f ca="1">VLOOKUP(INDIRECT("A"&amp;ROW()),收益表!$A$16:$U$10014,20,0)</f>
        <v>81</v>
      </c>
      <c r="S61" s="198">
        <f ca="1">VLOOKUP(INDIRECT("A"&amp;ROW()),收益表!$A$16:$U$10014,21,0)</f>
        <v>55</v>
      </c>
      <c r="T61" s="194"/>
      <c r="U61" s="195"/>
      <c r="V61" s="195"/>
      <c r="W61" s="196"/>
    </row>
    <row r="62" s="127" customFormat="1" spans="1:23">
      <c r="A62" s="184">
        <v>45615</v>
      </c>
      <c r="B62" s="14"/>
      <c r="C62" s="163"/>
      <c r="D62" s="30"/>
      <c r="E62" s="164"/>
      <c r="F62" s="32"/>
      <c r="G62" s="33"/>
      <c r="H62" s="33"/>
      <c r="I62" s="33"/>
      <c r="J62" s="33"/>
      <c r="K62" s="33"/>
      <c r="L62" s="33"/>
      <c r="M62" s="7"/>
      <c r="N62" s="7"/>
      <c r="O62" s="7"/>
      <c r="P62" s="7"/>
      <c r="Q62" s="199">
        <f ca="1" t="shared" si="3"/>
        <v>0.126315789473684</v>
      </c>
      <c r="R62" s="198">
        <f ca="1">VLOOKUP(INDIRECT("A"&amp;ROW()),收益表!$A$16:$U$10014,20,0)</f>
        <v>95</v>
      </c>
      <c r="S62" s="198">
        <f ca="1">VLOOKUP(INDIRECT("A"&amp;ROW()),收益表!$A$16:$U$10014,21,0)</f>
        <v>12</v>
      </c>
      <c r="T62" s="194"/>
      <c r="U62" s="195"/>
      <c r="V62" s="195"/>
      <c r="W62" s="196"/>
    </row>
    <row r="63" s="126" customFormat="1" spans="1:23">
      <c r="A63" s="29">
        <v>45616</v>
      </c>
      <c r="B63" s="68" t="s">
        <v>137</v>
      </c>
      <c r="C63" s="68" t="s">
        <v>98</v>
      </c>
      <c r="D63" s="69">
        <v>0.0233</v>
      </c>
      <c r="E63" s="177">
        <v>-0.0298</v>
      </c>
      <c r="F63" s="175">
        <v>-0.0586</v>
      </c>
      <c r="G63" s="35" t="s">
        <v>101</v>
      </c>
      <c r="H63" s="101"/>
      <c r="I63" s="101">
        <v>-0.0298</v>
      </c>
      <c r="J63" s="101">
        <f>(1+I63)*J61</f>
        <v>1.71796471565413</v>
      </c>
      <c r="K63" s="101">
        <v>-0.0298</v>
      </c>
      <c r="L63" s="101">
        <f>(1+K63)*L48</f>
        <v>1.75292745320959</v>
      </c>
      <c r="M63" s="188"/>
      <c r="N63" s="188"/>
      <c r="O63" s="188"/>
      <c r="P63" s="188"/>
      <c r="Q63" s="199">
        <f ca="1" t="shared" si="3"/>
        <v>0.0132450331125828</v>
      </c>
      <c r="R63" s="198">
        <f ca="1">VLOOKUP(INDIRECT("A"&amp;ROW()),收益表!$A$16:$U$10014,20,0)</f>
        <v>151</v>
      </c>
      <c r="S63" s="198">
        <f ca="1">VLOOKUP(INDIRECT("A"&amp;ROW()),收益表!$A$16:$U$10014,21,0)</f>
        <v>2</v>
      </c>
      <c r="T63" s="194"/>
      <c r="U63" s="195"/>
      <c r="V63" s="195"/>
      <c r="W63" s="196"/>
    </row>
    <row r="64" s="126" customFormat="1" spans="1:23">
      <c r="A64" s="29">
        <v>45617</v>
      </c>
      <c r="B64" s="165" t="s">
        <v>138</v>
      </c>
      <c r="C64" s="165" t="s">
        <v>88</v>
      </c>
      <c r="D64" s="166">
        <v>0.0478</v>
      </c>
      <c r="E64" s="167">
        <v>-0.021</v>
      </c>
      <c r="F64" s="168"/>
      <c r="G64" s="169"/>
      <c r="H64" s="169"/>
      <c r="I64" s="101"/>
      <c r="J64" s="101"/>
      <c r="K64" s="101"/>
      <c r="L64" s="101"/>
      <c r="M64" s="188"/>
      <c r="N64" s="188"/>
      <c r="O64" s="188"/>
      <c r="P64" s="188"/>
      <c r="Q64" s="199">
        <f ca="1" t="shared" si="3"/>
        <v>0.0285714285714286</v>
      </c>
      <c r="R64" s="198">
        <f ca="1">VLOOKUP(INDIRECT("A"&amp;ROW()),收益表!$A$16:$U$10014,20,0)</f>
        <v>105</v>
      </c>
      <c r="S64" s="198">
        <f ca="1">VLOOKUP(INDIRECT("A"&amp;ROW()),收益表!$A$16:$U$10014,21,0)</f>
        <v>3</v>
      </c>
      <c r="T64" s="194"/>
      <c r="U64" s="195"/>
      <c r="V64" s="195"/>
      <c r="W64" s="196"/>
    </row>
    <row r="65" s="126" customFormat="1" spans="1:23">
      <c r="A65" s="162">
        <v>45618</v>
      </c>
      <c r="B65" s="165" t="s">
        <v>139</v>
      </c>
      <c r="C65" s="165" t="s">
        <v>88</v>
      </c>
      <c r="D65" s="166">
        <v>-0.0391</v>
      </c>
      <c r="E65" s="167">
        <v>-0.0303</v>
      </c>
      <c r="F65" s="168"/>
      <c r="G65" s="169"/>
      <c r="H65" s="169"/>
      <c r="I65" s="101">
        <v>-0.041</v>
      </c>
      <c r="J65" s="101">
        <f>(1+I65)*J63</f>
        <v>1.64752816231231</v>
      </c>
      <c r="K65" s="101">
        <v>-0.041</v>
      </c>
      <c r="L65" s="101">
        <f>(1+K65)*L48</f>
        <v>1.73269163845392</v>
      </c>
      <c r="M65" s="188"/>
      <c r="N65" s="188"/>
      <c r="O65" s="188"/>
      <c r="P65" s="188"/>
      <c r="Q65" s="203">
        <f ca="1" t="shared" si="3"/>
        <v>0.0857142857142857</v>
      </c>
      <c r="R65" s="204">
        <f ca="1">VLOOKUP(INDIRECT("A"&amp;ROW()),收益表!$A$16:$U$10014,20,0)</f>
        <v>70</v>
      </c>
      <c r="S65" s="204">
        <f ca="1">VLOOKUP(INDIRECT("A"&amp;ROW()),收益表!$A$16:$U$10014,21,0)</f>
        <v>6</v>
      </c>
      <c r="T65" s="194"/>
      <c r="U65" s="195"/>
      <c r="V65" s="195"/>
      <c r="W65" s="196"/>
    </row>
    <row r="66" s="126" customFormat="1" spans="1:23">
      <c r="A66" s="162"/>
      <c r="B66" s="165" t="s">
        <v>140</v>
      </c>
      <c r="C66" s="165" t="s">
        <v>88</v>
      </c>
      <c r="D66" s="166">
        <v>-0.0123</v>
      </c>
      <c r="E66" s="167">
        <v>0.0164</v>
      </c>
      <c r="F66" s="168"/>
      <c r="G66" s="169"/>
      <c r="H66" s="169"/>
      <c r="I66" s="101"/>
      <c r="J66" s="101"/>
      <c r="K66" s="101"/>
      <c r="L66" s="101"/>
      <c r="M66" s="188"/>
      <c r="N66" s="188"/>
      <c r="O66" s="188"/>
      <c r="P66" s="188"/>
      <c r="Q66" s="210"/>
      <c r="R66" s="208"/>
      <c r="S66" s="208"/>
      <c r="T66" s="194"/>
      <c r="U66" s="195"/>
      <c r="V66" s="195"/>
      <c r="W66" s="196"/>
    </row>
    <row r="67" s="126" customFormat="1" spans="1:23">
      <c r="A67" s="162"/>
      <c r="B67" s="68" t="s">
        <v>133</v>
      </c>
      <c r="C67" s="68" t="s">
        <v>91</v>
      </c>
      <c r="D67" s="69">
        <v>-0.0547</v>
      </c>
      <c r="E67" s="177">
        <v>-0.041</v>
      </c>
      <c r="F67" s="41" t="s">
        <v>92</v>
      </c>
      <c r="G67" s="101"/>
      <c r="H67" s="101"/>
      <c r="I67" s="101"/>
      <c r="J67" s="101"/>
      <c r="K67" s="101"/>
      <c r="L67" s="101"/>
      <c r="M67" s="188"/>
      <c r="N67" s="188"/>
      <c r="O67" s="188"/>
      <c r="P67" s="188"/>
      <c r="Q67" s="205"/>
      <c r="R67" s="193"/>
      <c r="S67" s="193"/>
      <c r="T67" s="194"/>
      <c r="U67" s="195"/>
      <c r="V67" s="195"/>
      <c r="W67" s="196"/>
    </row>
    <row r="68" s="127" customFormat="1" spans="1:23">
      <c r="A68" s="162">
        <v>45621</v>
      </c>
      <c r="B68" s="38" t="s">
        <v>141</v>
      </c>
      <c r="C68" s="38" t="s">
        <v>91</v>
      </c>
      <c r="D68" s="39">
        <v>0.0895</v>
      </c>
      <c r="E68" s="170" t="s">
        <v>92</v>
      </c>
      <c r="F68" s="179" t="s">
        <v>142</v>
      </c>
      <c r="G68" s="35" t="s">
        <v>92</v>
      </c>
      <c r="H68" s="35" t="s">
        <v>143</v>
      </c>
      <c r="I68" s="35">
        <v>0.1</v>
      </c>
      <c r="J68" s="35">
        <f>(1+I68)*J65</f>
        <v>1.81228097854354</v>
      </c>
      <c r="K68" s="35">
        <v>0.1</v>
      </c>
      <c r="L68" s="35">
        <f>(1+K68)*L65</f>
        <v>1.90596080229931</v>
      </c>
      <c r="M68" s="36"/>
      <c r="N68" s="36"/>
      <c r="O68" s="36"/>
      <c r="P68" s="36"/>
      <c r="Q68" s="203">
        <f ca="1">S68/R68</f>
        <v>0.0454545454545455</v>
      </c>
      <c r="R68" s="204">
        <f ca="1">VLOOKUP(INDIRECT("A"&amp;ROW()),收益表!$A$16:$U$10014,20,0)</f>
        <v>154</v>
      </c>
      <c r="S68" s="204">
        <f ca="1">VLOOKUP(INDIRECT("A"&amp;ROW()),收益表!$A$16:$U$10014,21,0)</f>
        <v>7</v>
      </c>
      <c r="T68" s="194"/>
      <c r="U68" s="195"/>
      <c r="V68" s="195"/>
      <c r="W68" s="196"/>
    </row>
    <row r="69" s="127" customFormat="1" spans="1:23">
      <c r="A69" s="162"/>
      <c r="B69" s="38" t="s">
        <v>144</v>
      </c>
      <c r="C69" s="38" t="s">
        <v>98</v>
      </c>
      <c r="D69" s="39">
        <v>0.0779</v>
      </c>
      <c r="E69" s="170" t="s">
        <v>92</v>
      </c>
      <c r="F69" s="171" t="s">
        <v>92</v>
      </c>
      <c r="G69" s="212" t="s">
        <v>145</v>
      </c>
      <c r="H69" s="35" t="s">
        <v>92</v>
      </c>
      <c r="I69" s="35"/>
      <c r="J69" s="35"/>
      <c r="K69" s="35"/>
      <c r="L69" s="35"/>
      <c r="M69" s="36"/>
      <c r="N69" s="36"/>
      <c r="O69" s="36"/>
      <c r="P69" s="36"/>
      <c r="Q69" s="205"/>
      <c r="R69" s="193"/>
      <c r="S69" s="193"/>
      <c r="T69" s="194"/>
      <c r="U69" s="195"/>
      <c r="V69" s="195"/>
      <c r="W69" s="196"/>
    </row>
    <row r="70" s="127" customFormat="1" spans="1:23">
      <c r="A70" s="71">
        <v>45622</v>
      </c>
      <c r="B70" s="14"/>
      <c r="C70" s="163"/>
      <c r="D70" s="30"/>
      <c r="E70" s="164"/>
      <c r="F70" s="32"/>
      <c r="G70" s="33"/>
      <c r="H70" s="33"/>
      <c r="I70" s="33"/>
      <c r="J70" s="33"/>
      <c r="K70" s="33"/>
      <c r="L70" s="33"/>
      <c r="M70" s="7"/>
      <c r="N70" s="7"/>
      <c r="O70" s="7"/>
      <c r="P70" s="7"/>
      <c r="Q70" s="211">
        <f ca="1" t="shared" ref="Q70:Q75" si="4">S70/R70</f>
        <v>0.613207547169811</v>
      </c>
      <c r="R70" s="198">
        <f ca="1">VLOOKUP(INDIRECT("A"&amp;ROW()),收益表!$A$16:$U$10014,20,0)</f>
        <v>106</v>
      </c>
      <c r="S70" s="198">
        <f ca="1">VLOOKUP(INDIRECT("A"&amp;ROW()),收益表!$A$16:$U$10014,21,0)</f>
        <v>65</v>
      </c>
      <c r="T70" s="194"/>
      <c r="U70" s="195"/>
      <c r="V70" s="195"/>
      <c r="W70" s="196"/>
    </row>
    <row r="71" s="126" customFormat="1" spans="1:23">
      <c r="A71" s="162">
        <v>45623</v>
      </c>
      <c r="B71" s="68" t="s">
        <v>146</v>
      </c>
      <c r="C71" s="68" t="s">
        <v>96</v>
      </c>
      <c r="D71" s="69">
        <v>-0.0946</v>
      </c>
      <c r="E71" s="177">
        <v>-0.0627</v>
      </c>
      <c r="F71" s="175">
        <v>-0.0097</v>
      </c>
      <c r="G71" s="176">
        <v>-0.0014</v>
      </c>
      <c r="H71" s="176">
        <v>0.0451</v>
      </c>
      <c r="I71" s="101">
        <f>AVERAGE(E71,E72,E74)</f>
        <v>-0.0263666666666667</v>
      </c>
      <c r="J71" s="101">
        <f>(1+I71)*J68</f>
        <v>1.76449717007594</v>
      </c>
      <c r="K71" s="101"/>
      <c r="L71" s="101"/>
      <c r="M71" s="188"/>
      <c r="N71" s="188"/>
      <c r="O71" s="188"/>
      <c r="P71" s="188"/>
      <c r="Q71" s="203">
        <f ca="1" t="shared" si="4"/>
        <v>0.203703703703704</v>
      </c>
      <c r="R71" s="204">
        <f ca="1">VLOOKUP(INDIRECT("A"&amp;ROW()),收益表!$A$16:$U$10014,20,0)</f>
        <v>108</v>
      </c>
      <c r="S71" s="204">
        <f ca="1">VLOOKUP(INDIRECT("A"&amp;ROW()),收益表!$A$16:$U$10014,21,0)</f>
        <v>22</v>
      </c>
      <c r="T71" s="194"/>
      <c r="U71" s="195"/>
      <c r="V71" s="195"/>
      <c r="W71" s="196"/>
    </row>
    <row r="72" s="126" customFormat="1" spans="1:23">
      <c r="A72" s="162"/>
      <c r="B72" s="68" t="s">
        <v>147</v>
      </c>
      <c r="C72" s="68" t="s">
        <v>98</v>
      </c>
      <c r="D72" s="69">
        <v>-0.0477</v>
      </c>
      <c r="E72" s="177">
        <v>-0.0371</v>
      </c>
      <c r="F72" s="175">
        <v>-0.0421</v>
      </c>
      <c r="G72" s="35" t="s">
        <v>92</v>
      </c>
      <c r="H72" s="101"/>
      <c r="I72" s="101"/>
      <c r="J72" s="101"/>
      <c r="K72" s="101"/>
      <c r="L72" s="101"/>
      <c r="M72" s="188"/>
      <c r="N72" s="188"/>
      <c r="O72" s="188"/>
      <c r="P72" s="188"/>
      <c r="Q72" s="210"/>
      <c r="R72" s="208"/>
      <c r="S72" s="208"/>
      <c r="T72" s="194"/>
      <c r="U72" s="195"/>
      <c r="V72" s="195"/>
      <c r="W72" s="196"/>
    </row>
    <row r="73" s="126" customFormat="1" spans="1:23">
      <c r="A73" s="162"/>
      <c r="B73" s="165" t="s">
        <v>148</v>
      </c>
      <c r="C73" s="165" t="s">
        <v>86</v>
      </c>
      <c r="D73" s="166">
        <v>-0.0886</v>
      </c>
      <c r="E73" s="167">
        <v>-0.0233</v>
      </c>
      <c r="F73" s="168"/>
      <c r="G73" s="169"/>
      <c r="H73" s="169"/>
      <c r="I73" s="101"/>
      <c r="J73" s="101"/>
      <c r="K73" s="101"/>
      <c r="L73" s="101"/>
      <c r="M73" s="188"/>
      <c r="N73" s="188"/>
      <c r="O73" s="188"/>
      <c r="P73" s="188"/>
      <c r="Q73" s="210"/>
      <c r="R73" s="208"/>
      <c r="S73" s="208"/>
      <c r="T73" s="194"/>
      <c r="U73" s="195"/>
      <c r="V73" s="195"/>
      <c r="W73" s="196"/>
    </row>
    <row r="74" s="126" customFormat="1" spans="1:23">
      <c r="A74" s="162"/>
      <c r="B74" s="72" t="s">
        <v>149</v>
      </c>
      <c r="C74" s="72" t="s">
        <v>98</v>
      </c>
      <c r="D74" s="42">
        <v>-0.0958</v>
      </c>
      <c r="E74" s="174">
        <v>0.0207</v>
      </c>
      <c r="F74" s="175">
        <v>-0.0515</v>
      </c>
      <c r="G74" s="176">
        <v>0.0197</v>
      </c>
      <c r="H74" s="176">
        <v>0.031</v>
      </c>
      <c r="I74" s="101"/>
      <c r="J74" s="101"/>
      <c r="K74" s="101"/>
      <c r="L74" s="101"/>
      <c r="M74" s="188"/>
      <c r="N74" s="188"/>
      <c r="O74" s="188"/>
      <c r="P74" s="188"/>
      <c r="Q74" s="205"/>
      <c r="R74" s="193"/>
      <c r="S74" s="193"/>
      <c r="T74" s="194"/>
      <c r="U74" s="195"/>
      <c r="V74" s="195"/>
      <c r="W74" s="196"/>
    </row>
    <row r="75" s="127" customFormat="1" spans="1:23">
      <c r="A75" s="162">
        <v>45624</v>
      </c>
      <c r="B75" s="38" t="s">
        <v>150</v>
      </c>
      <c r="C75" s="38" t="s">
        <v>98</v>
      </c>
      <c r="D75" s="39">
        <v>-0.0469</v>
      </c>
      <c r="E75" s="178" t="s">
        <v>92</v>
      </c>
      <c r="F75" s="175">
        <v>-0.0485</v>
      </c>
      <c r="G75" s="35" t="s">
        <v>92</v>
      </c>
      <c r="H75" s="176">
        <v>0.0249</v>
      </c>
      <c r="I75" s="35">
        <v>0.1</v>
      </c>
      <c r="J75" s="35">
        <f>(1+I75)*J71</f>
        <v>1.94094688708354</v>
      </c>
      <c r="K75" s="35">
        <v>0.1</v>
      </c>
      <c r="L75" s="35">
        <f>(1+K75)*L68</f>
        <v>2.09655688252924</v>
      </c>
      <c r="M75" s="36"/>
      <c r="N75" s="36"/>
      <c r="O75" s="36"/>
      <c r="P75" s="36"/>
      <c r="Q75" s="203">
        <f ca="1" t="shared" si="4"/>
        <v>0.0619469026548673</v>
      </c>
      <c r="R75" s="204">
        <f ca="1">VLOOKUP(INDIRECT("A"&amp;ROW()),收益表!$A$16:$U$10014,20,0)</f>
        <v>113</v>
      </c>
      <c r="S75" s="204">
        <f ca="1">VLOOKUP(INDIRECT("A"&amp;ROW()),收益表!$A$16:$U$10014,21,0)</f>
        <v>7</v>
      </c>
      <c r="T75" s="194"/>
      <c r="U75" s="195"/>
      <c r="V75" s="195"/>
      <c r="W75" s="196"/>
    </row>
    <row r="76" s="127" customFormat="1" spans="1:23">
      <c r="A76" s="162"/>
      <c r="B76" s="165" t="s">
        <v>151</v>
      </c>
      <c r="C76" s="165" t="s">
        <v>86</v>
      </c>
      <c r="D76" s="166">
        <v>0.0785</v>
      </c>
      <c r="E76" s="167">
        <v>-0.0229</v>
      </c>
      <c r="F76" s="168"/>
      <c r="G76" s="169"/>
      <c r="H76" s="169"/>
      <c r="I76" s="35"/>
      <c r="J76" s="35"/>
      <c r="K76" s="35"/>
      <c r="L76" s="35"/>
      <c r="M76" s="36"/>
      <c r="N76" s="36"/>
      <c r="O76" s="36"/>
      <c r="P76" s="36"/>
      <c r="Q76" s="210"/>
      <c r="R76" s="208"/>
      <c r="S76" s="208"/>
      <c r="T76" s="194"/>
      <c r="U76" s="195"/>
      <c r="V76" s="195"/>
      <c r="W76" s="196"/>
    </row>
    <row r="77" s="127" customFormat="1" spans="1:23">
      <c r="A77" s="162"/>
      <c r="B77" s="165" t="s">
        <v>152</v>
      </c>
      <c r="C77" s="165" t="s">
        <v>86</v>
      </c>
      <c r="D77" s="166">
        <v>0.0786</v>
      </c>
      <c r="E77" s="167">
        <v>0.0812</v>
      </c>
      <c r="F77" s="168"/>
      <c r="G77" s="169"/>
      <c r="H77" s="169"/>
      <c r="I77" s="35"/>
      <c r="J77" s="35"/>
      <c r="K77" s="35"/>
      <c r="L77" s="35"/>
      <c r="M77" s="36"/>
      <c r="N77" s="36"/>
      <c r="O77" s="36"/>
      <c r="P77" s="36"/>
      <c r="Q77" s="210"/>
      <c r="R77" s="208"/>
      <c r="S77" s="208"/>
      <c r="T77" s="194"/>
      <c r="U77" s="195"/>
      <c r="V77" s="195"/>
      <c r="W77" s="196"/>
    </row>
    <row r="78" s="127" customFormat="1" spans="1:23">
      <c r="A78" s="162"/>
      <c r="B78" s="165" t="s">
        <v>153</v>
      </c>
      <c r="C78" s="165" t="s">
        <v>86</v>
      </c>
      <c r="D78" s="166">
        <f>-6.14%</f>
        <v>-0.0614</v>
      </c>
      <c r="E78" s="167">
        <v>-0.0543</v>
      </c>
      <c r="F78" s="168"/>
      <c r="G78" s="169"/>
      <c r="H78" s="169"/>
      <c r="I78" s="35"/>
      <c r="J78" s="35"/>
      <c r="K78" s="35"/>
      <c r="L78" s="35"/>
      <c r="M78" s="36"/>
      <c r="N78" s="36"/>
      <c r="O78" s="36"/>
      <c r="P78" s="36"/>
      <c r="Q78" s="205"/>
      <c r="R78" s="193"/>
      <c r="S78" s="193"/>
      <c r="T78" s="194"/>
      <c r="U78" s="195"/>
      <c r="V78" s="195"/>
      <c r="W78" s="196"/>
    </row>
    <row r="79" s="127" customFormat="1" spans="1:23">
      <c r="A79" s="162">
        <v>45625</v>
      </c>
      <c r="B79" s="165" t="s">
        <v>154</v>
      </c>
      <c r="C79" s="165" t="s">
        <v>155</v>
      </c>
      <c r="D79" s="166">
        <v>-0.0487</v>
      </c>
      <c r="E79" s="167">
        <v>0.0402</v>
      </c>
      <c r="F79" s="168"/>
      <c r="G79" s="169"/>
      <c r="H79" s="169"/>
      <c r="I79" s="33"/>
      <c r="J79" s="33"/>
      <c r="K79" s="33"/>
      <c r="L79" s="33"/>
      <c r="M79" s="7"/>
      <c r="N79" s="7"/>
      <c r="O79" s="7"/>
      <c r="P79" s="7"/>
      <c r="Q79" s="199">
        <f ca="1" t="shared" ref="Q79:Q82" si="5">S79/R79</f>
        <v>0.0763888888888889</v>
      </c>
      <c r="R79" s="198">
        <f ca="1">VLOOKUP(INDIRECT("A"&amp;ROW()),收益表!$A$16:$U$10014,20,0)</f>
        <v>144</v>
      </c>
      <c r="S79" s="198">
        <f ca="1">VLOOKUP(INDIRECT("A"&amp;ROW()),收益表!$A$16:$U$10014,21,0)</f>
        <v>11</v>
      </c>
      <c r="T79" s="194"/>
      <c r="U79" s="195"/>
      <c r="V79" s="195"/>
      <c r="W79" s="196"/>
    </row>
    <row r="80" s="127" customFormat="1" spans="1:23">
      <c r="A80" s="162">
        <v>45628</v>
      </c>
      <c r="B80" s="38" t="s">
        <v>156</v>
      </c>
      <c r="C80" s="38" t="s">
        <v>98</v>
      </c>
      <c r="D80" s="39">
        <v>-0.0471</v>
      </c>
      <c r="E80" s="170" t="s">
        <v>92</v>
      </c>
      <c r="F80" s="179" t="s">
        <v>157</v>
      </c>
      <c r="G80" s="176">
        <v>0.0244</v>
      </c>
      <c r="H80" s="176">
        <v>-0.0401</v>
      </c>
      <c r="I80" s="35">
        <v>0.1</v>
      </c>
      <c r="J80" s="35">
        <f>(1+I80)*J75</f>
        <v>2.13504157579189</v>
      </c>
      <c r="K80" s="35">
        <v>0.1</v>
      </c>
      <c r="L80" s="35">
        <f>(1+K80)*L75</f>
        <v>2.30621257078217</v>
      </c>
      <c r="M80" s="36"/>
      <c r="N80" s="36"/>
      <c r="O80" s="36"/>
      <c r="P80" s="36"/>
      <c r="Q80" s="199">
        <f ca="1" t="shared" si="5"/>
        <v>0.0324324324324324</v>
      </c>
      <c r="R80" s="198">
        <f ca="1">VLOOKUP(INDIRECT("A"&amp;ROW()),收益表!$A$16:$U$10014,20,0)</f>
        <v>185</v>
      </c>
      <c r="S80" s="198">
        <f ca="1">VLOOKUP(INDIRECT("A"&amp;ROW()),收益表!$A$16:$U$10014,21,0)</f>
        <v>6</v>
      </c>
      <c r="T80" s="194"/>
      <c r="U80" s="195"/>
      <c r="V80" s="195"/>
      <c r="W80" s="196"/>
    </row>
    <row r="81" s="127" customFormat="1" spans="1:23">
      <c r="A81" s="71">
        <v>45629</v>
      </c>
      <c r="B81" s="14"/>
      <c r="C81" s="163"/>
      <c r="D81" s="30"/>
      <c r="E81" s="164"/>
      <c r="F81" s="32"/>
      <c r="G81" s="33"/>
      <c r="H81" s="33"/>
      <c r="I81" s="33"/>
      <c r="J81" s="33"/>
      <c r="K81" s="33"/>
      <c r="L81" s="33"/>
      <c r="M81" s="7"/>
      <c r="N81" s="7"/>
      <c r="O81" s="7"/>
      <c r="P81" s="7"/>
      <c r="Q81" s="199">
        <f ca="1" t="shared" si="5"/>
        <v>0.0447761194029851</v>
      </c>
      <c r="R81" s="198">
        <f ca="1">VLOOKUP(INDIRECT("A"&amp;ROW()),收益表!$A$16:$U$10014,20,0)</f>
        <v>134</v>
      </c>
      <c r="S81" s="198">
        <f ca="1">VLOOKUP(INDIRECT("A"&amp;ROW()),收益表!$A$16:$U$10014,21,0)</f>
        <v>6</v>
      </c>
      <c r="T81" s="194"/>
      <c r="U81" s="195"/>
      <c r="V81" s="195"/>
      <c r="W81" s="196"/>
    </row>
    <row r="82" s="127" customFormat="1" spans="1:23">
      <c r="A82" s="162">
        <v>45630</v>
      </c>
      <c r="B82" s="165" t="s">
        <v>158</v>
      </c>
      <c r="C82" s="165" t="s">
        <v>88</v>
      </c>
      <c r="D82" s="166">
        <v>0.0704</v>
      </c>
      <c r="E82" s="167" t="s">
        <v>92</v>
      </c>
      <c r="F82" s="168"/>
      <c r="G82" s="169"/>
      <c r="H82" s="169"/>
      <c r="I82" s="35">
        <v>0.1</v>
      </c>
      <c r="J82" s="35">
        <f>(1+I82)*J80</f>
        <v>2.34854573337108</v>
      </c>
      <c r="K82" s="35">
        <v>0.1</v>
      </c>
      <c r="L82" s="35">
        <f>(1+K82)*L80</f>
        <v>2.53683382786038</v>
      </c>
      <c r="M82" s="36"/>
      <c r="N82" s="36"/>
      <c r="O82" s="36"/>
      <c r="P82" s="36"/>
      <c r="Q82" s="206">
        <f ca="1" t="shared" si="5"/>
        <v>0.195876288659794</v>
      </c>
      <c r="R82" s="204">
        <f ca="1">VLOOKUP(INDIRECT("A"&amp;ROW()),收益表!$A$16:$U$10014,20,0)</f>
        <v>97</v>
      </c>
      <c r="S82" s="204">
        <f ca="1">VLOOKUP(INDIRECT("A"&amp;ROW()),收益表!$A$16:$U$10014,21,0)</f>
        <v>19</v>
      </c>
      <c r="T82" s="194"/>
      <c r="U82" s="195"/>
      <c r="V82" s="195"/>
      <c r="W82" s="196"/>
    </row>
    <row r="83" s="127" customFormat="1" spans="1:23">
      <c r="A83" s="162"/>
      <c r="B83" s="181" t="s">
        <v>123</v>
      </c>
      <c r="C83" s="181" t="s">
        <v>70</v>
      </c>
      <c r="D83" s="182">
        <v>0.0557</v>
      </c>
      <c r="E83" s="183">
        <v>-0.05</v>
      </c>
      <c r="F83" s="168"/>
      <c r="G83" s="169"/>
      <c r="H83" s="169"/>
      <c r="I83" s="35"/>
      <c r="J83" s="35"/>
      <c r="K83" s="35"/>
      <c r="L83" s="35"/>
      <c r="M83" s="36"/>
      <c r="N83" s="36"/>
      <c r="O83" s="36"/>
      <c r="P83" s="36"/>
      <c r="Q83" s="207"/>
      <c r="R83" s="208"/>
      <c r="S83" s="208"/>
      <c r="T83" s="194"/>
      <c r="U83" s="195"/>
      <c r="V83" s="195"/>
      <c r="W83" s="196"/>
    </row>
    <row r="84" s="127" customFormat="1" spans="1:23">
      <c r="A84" s="162"/>
      <c r="B84" s="38" t="s">
        <v>159</v>
      </c>
      <c r="C84" s="38" t="s">
        <v>98</v>
      </c>
      <c r="D84" s="39">
        <v>0.0609</v>
      </c>
      <c r="E84" s="178" t="s">
        <v>92</v>
      </c>
      <c r="F84" s="171" t="s">
        <v>92</v>
      </c>
      <c r="G84" s="176">
        <v>-0.0797</v>
      </c>
      <c r="H84" s="101" t="s">
        <v>89</v>
      </c>
      <c r="I84" s="35"/>
      <c r="J84" s="35"/>
      <c r="K84" s="35"/>
      <c r="L84" s="35"/>
      <c r="M84" s="36"/>
      <c r="N84" s="36"/>
      <c r="O84" s="36"/>
      <c r="P84" s="36"/>
      <c r="Q84" s="207"/>
      <c r="R84" s="208"/>
      <c r="S84" s="208"/>
      <c r="T84" s="194"/>
      <c r="U84" s="195"/>
      <c r="V84" s="195"/>
      <c r="W84" s="196"/>
    </row>
    <row r="85" s="127" customFormat="1" spans="1:23">
      <c r="A85" s="162"/>
      <c r="B85" s="165" t="s">
        <v>160</v>
      </c>
      <c r="C85" s="165" t="s">
        <v>86</v>
      </c>
      <c r="D85" s="166">
        <v>-0.024</v>
      </c>
      <c r="E85" s="167">
        <v>-0.0924</v>
      </c>
      <c r="F85" s="168"/>
      <c r="G85" s="169"/>
      <c r="H85" s="169"/>
      <c r="I85" s="35"/>
      <c r="J85" s="35"/>
      <c r="K85" s="35"/>
      <c r="L85" s="35"/>
      <c r="M85" s="36"/>
      <c r="N85" s="36"/>
      <c r="O85" s="36"/>
      <c r="P85" s="36"/>
      <c r="Q85" s="209"/>
      <c r="R85" s="193"/>
      <c r="S85" s="193"/>
      <c r="T85" s="194"/>
      <c r="U85" s="195"/>
      <c r="V85" s="195"/>
      <c r="W85" s="196"/>
    </row>
    <row r="86" s="127" customFormat="1" spans="1:23">
      <c r="A86" s="162">
        <v>45631</v>
      </c>
      <c r="B86" s="72" t="s">
        <v>161</v>
      </c>
      <c r="C86" s="72" t="s">
        <v>98</v>
      </c>
      <c r="D86" s="42">
        <v>-0.0517</v>
      </c>
      <c r="E86" s="174">
        <v>0.0316</v>
      </c>
      <c r="F86" s="41" t="s">
        <v>92</v>
      </c>
      <c r="G86" s="35"/>
      <c r="H86" s="35"/>
      <c r="I86" s="35">
        <f>AVERAGE(E86:E87)</f>
        <v>0.0188</v>
      </c>
      <c r="J86" s="35">
        <f>(1+I86)*J82</f>
        <v>2.39269839315846</v>
      </c>
      <c r="K86" s="35"/>
      <c r="L86" s="35"/>
      <c r="M86" s="36"/>
      <c r="N86" s="36"/>
      <c r="O86" s="36"/>
      <c r="P86" s="36"/>
      <c r="Q86" s="203">
        <f ca="1">S86/R86</f>
        <v>0.0774647887323944</v>
      </c>
      <c r="R86" s="204">
        <f ca="1">VLOOKUP(INDIRECT("A"&amp;ROW()),收益表!$A$16:$U$10014,20,0)</f>
        <v>142</v>
      </c>
      <c r="S86" s="204">
        <f ca="1">VLOOKUP(INDIRECT("A"&amp;ROW()),收益表!$A$16:$U$10014,21,0)</f>
        <v>11</v>
      </c>
      <c r="T86" s="194"/>
      <c r="U86" s="195"/>
      <c r="V86" s="195"/>
      <c r="W86" s="196"/>
    </row>
    <row r="87" s="127" customFormat="1" spans="1:23">
      <c r="A87" s="162"/>
      <c r="B87" s="72" t="s">
        <v>162</v>
      </c>
      <c r="C87" s="72" t="s">
        <v>98</v>
      </c>
      <c r="D87" s="42">
        <v>-0.0538</v>
      </c>
      <c r="E87" s="174">
        <v>0.006</v>
      </c>
      <c r="F87" s="41"/>
      <c r="G87" s="35"/>
      <c r="H87" s="35"/>
      <c r="I87" s="35"/>
      <c r="J87" s="35"/>
      <c r="K87" s="35"/>
      <c r="L87" s="35"/>
      <c r="M87" s="36"/>
      <c r="N87" s="36"/>
      <c r="O87" s="36"/>
      <c r="P87" s="36"/>
      <c r="Q87" s="210"/>
      <c r="R87" s="208"/>
      <c r="S87" s="208"/>
      <c r="T87" s="194"/>
      <c r="U87" s="195"/>
      <c r="V87" s="195"/>
      <c r="W87" s="196"/>
    </row>
    <row r="88" s="127" customFormat="1" spans="1:23">
      <c r="A88" s="162"/>
      <c r="B88" s="181" t="s">
        <v>163</v>
      </c>
      <c r="C88" s="181" t="s">
        <v>70</v>
      </c>
      <c r="D88" s="182">
        <v>-0.0528</v>
      </c>
      <c r="E88" s="183" t="s">
        <v>92</v>
      </c>
      <c r="F88" s="168"/>
      <c r="G88" s="169"/>
      <c r="H88" s="169"/>
      <c r="I88" s="35"/>
      <c r="J88" s="35"/>
      <c r="K88" s="35"/>
      <c r="L88" s="35"/>
      <c r="M88" s="36"/>
      <c r="N88" s="36"/>
      <c r="O88" s="36"/>
      <c r="P88" s="36"/>
      <c r="Q88" s="210"/>
      <c r="R88" s="208"/>
      <c r="S88" s="208"/>
      <c r="T88" s="194"/>
      <c r="U88" s="195"/>
      <c r="V88" s="195"/>
      <c r="W88" s="196"/>
    </row>
    <row r="89" s="127" customFormat="1" spans="1:23">
      <c r="A89" s="162"/>
      <c r="B89" s="165" t="s">
        <v>164</v>
      </c>
      <c r="C89" s="165" t="s">
        <v>86</v>
      </c>
      <c r="D89" s="166">
        <v>-0.0604</v>
      </c>
      <c r="E89" s="167" t="s">
        <v>92</v>
      </c>
      <c r="F89" s="168"/>
      <c r="G89" s="169"/>
      <c r="H89" s="169"/>
      <c r="I89" s="35"/>
      <c r="J89" s="35"/>
      <c r="K89" s="35"/>
      <c r="L89" s="35"/>
      <c r="M89" s="36"/>
      <c r="N89" s="36"/>
      <c r="O89" s="36"/>
      <c r="P89" s="36"/>
      <c r="Q89" s="205"/>
      <c r="R89" s="193"/>
      <c r="S89" s="193"/>
      <c r="T89" s="194"/>
      <c r="U89" s="195"/>
      <c r="V89" s="195"/>
      <c r="W89" s="196"/>
    </row>
    <row r="90" s="127" customFormat="1" spans="1:23">
      <c r="A90" s="162">
        <v>45632</v>
      </c>
      <c r="B90" s="38" t="s">
        <v>165</v>
      </c>
      <c r="C90" s="38" t="s">
        <v>98</v>
      </c>
      <c r="D90" s="39">
        <v>-0.0629</v>
      </c>
      <c r="E90" s="178" t="s">
        <v>92</v>
      </c>
      <c r="F90" s="65" t="s">
        <v>89</v>
      </c>
      <c r="G90" s="176">
        <v>-0.0573</v>
      </c>
      <c r="H90" s="176">
        <v>0.016</v>
      </c>
      <c r="I90" s="35">
        <v>0.0121</v>
      </c>
      <c r="J90" s="35">
        <f>(1+I90)*J86</f>
        <v>2.42165004371568</v>
      </c>
      <c r="K90" s="35">
        <v>0.0121</v>
      </c>
      <c r="L90" s="35">
        <f>(1+K90)*L82</f>
        <v>2.56752951717749</v>
      </c>
      <c r="M90" s="36"/>
      <c r="N90" s="36"/>
      <c r="O90" s="36"/>
      <c r="P90" s="36"/>
      <c r="Q90" s="203">
        <f ca="1">S90/R90</f>
        <v>0.0447761194029851</v>
      </c>
      <c r="R90" s="204">
        <f ca="1">VLOOKUP(INDIRECT("A"&amp;ROW()),收益表!$A$16:$U$10014,20,0)</f>
        <v>134</v>
      </c>
      <c r="S90" s="204">
        <f ca="1">VLOOKUP(INDIRECT("A"&amp;ROW()),收益表!$A$16:$U$10014,21,0)</f>
        <v>6</v>
      </c>
      <c r="T90" s="194"/>
      <c r="U90" s="195"/>
      <c r="V90" s="195"/>
      <c r="W90" s="196"/>
    </row>
    <row r="91" s="127" customFormat="1" spans="1:23">
      <c r="A91" s="162"/>
      <c r="B91" s="68" t="s">
        <v>166</v>
      </c>
      <c r="C91" s="68" t="s">
        <v>98</v>
      </c>
      <c r="D91" s="69">
        <v>-0.0246</v>
      </c>
      <c r="E91" s="177">
        <v>-0.0757</v>
      </c>
      <c r="F91" s="175">
        <v>-0.0176</v>
      </c>
      <c r="G91" s="176">
        <v>0.0129</v>
      </c>
      <c r="H91" s="176">
        <v>0.0157</v>
      </c>
      <c r="I91" s="35"/>
      <c r="J91" s="35"/>
      <c r="K91" s="35"/>
      <c r="L91" s="35"/>
      <c r="M91" s="36"/>
      <c r="N91" s="36"/>
      <c r="O91" s="36"/>
      <c r="P91" s="36"/>
      <c r="Q91" s="205"/>
      <c r="R91" s="193"/>
      <c r="S91" s="193"/>
      <c r="T91" s="194"/>
      <c r="U91" s="195"/>
      <c r="V91" s="195"/>
      <c r="W91" s="196"/>
    </row>
    <row r="92" s="127" customFormat="1" spans="1:23">
      <c r="A92" s="162">
        <v>45635</v>
      </c>
      <c r="B92" s="181" t="s">
        <v>167</v>
      </c>
      <c r="C92" s="181" t="s">
        <v>70</v>
      </c>
      <c r="D92" s="182">
        <v>0.0247</v>
      </c>
      <c r="E92" s="183" t="s">
        <v>92</v>
      </c>
      <c r="F92" s="168"/>
      <c r="G92" s="169"/>
      <c r="H92" s="169"/>
      <c r="I92" s="35">
        <v>0.1</v>
      </c>
      <c r="J92" s="35">
        <f>(1+I92)*J90</f>
        <v>2.66381504808724</v>
      </c>
      <c r="K92" s="35">
        <v>0.1</v>
      </c>
      <c r="L92" s="35">
        <f>(1+K92)*L90</f>
        <v>2.82428246889524</v>
      </c>
      <c r="M92" s="36"/>
      <c r="N92" s="36"/>
      <c r="O92" s="36"/>
      <c r="P92" s="36"/>
      <c r="Q92" s="206">
        <f ca="1">S92/R92</f>
        <v>0.228813559322034</v>
      </c>
      <c r="R92" s="204">
        <f ca="1">VLOOKUP(INDIRECT("A"&amp;ROW()),收益表!$A$16:$U$10014,20,0)</f>
        <v>118</v>
      </c>
      <c r="S92" s="204">
        <f ca="1">VLOOKUP(INDIRECT("A"&amp;ROW()),收益表!$A$16:$U$10014,21,0)</f>
        <v>27</v>
      </c>
      <c r="T92" s="194"/>
      <c r="U92" s="195"/>
      <c r="V92" s="195"/>
      <c r="W92" s="196"/>
    </row>
    <row r="93" s="127" customFormat="1" spans="1:23">
      <c r="A93" s="162"/>
      <c r="B93" s="38" t="s">
        <v>168</v>
      </c>
      <c r="C93" s="38" t="s">
        <v>96</v>
      </c>
      <c r="D93" s="39">
        <v>-0.0566</v>
      </c>
      <c r="E93" s="178" t="s">
        <v>92</v>
      </c>
      <c r="F93" s="171" t="s">
        <v>92</v>
      </c>
      <c r="G93" s="172" t="s">
        <v>92</v>
      </c>
      <c r="H93" s="101" t="s">
        <v>89</v>
      </c>
      <c r="I93" s="35"/>
      <c r="J93" s="35"/>
      <c r="K93" s="35"/>
      <c r="L93" s="35"/>
      <c r="M93" s="36"/>
      <c r="N93" s="36"/>
      <c r="O93" s="36"/>
      <c r="P93" s="36"/>
      <c r="Q93" s="207"/>
      <c r="R93" s="208"/>
      <c r="S93" s="208"/>
      <c r="T93" s="194"/>
      <c r="U93" s="195"/>
      <c r="V93" s="195"/>
      <c r="W93" s="196"/>
    </row>
    <row r="94" s="127" customFormat="1" spans="1:23">
      <c r="A94" s="162"/>
      <c r="B94" s="165" t="s">
        <v>169</v>
      </c>
      <c r="C94" s="165" t="s">
        <v>88</v>
      </c>
      <c r="D94" s="166">
        <v>-0.0721</v>
      </c>
      <c r="E94" s="167">
        <v>-0.046</v>
      </c>
      <c r="F94" s="168"/>
      <c r="G94" s="169"/>
      <c r="H94" s="169"/>
      <c r="I94" s="35"/>
      <c r="J94" s="35"/>
      <c r="K94" s="35"/>
      <c r="L94" s="35"/>
      <c r="M94" s="36"/>
      <c r="N94" s="36"/>
      <c r="O94" s="36"/>
      <c r="P94" s="36"/>
      <c r="Q94" s="209"/>
      <c r="R94" s="193"/>
      <c r="S94" s="193"/>
      <c r="T94" s="194"/>
      <c r="U94" s="195"/>
      <c r="V94" s="195"/>
      <c r="W94" s="196"/>
    </row>
    <row r="95" s="127" customFormat="1" spans="1:23">
      <c r="A95" s="162">
        <v>45636</v>
      </c>
      <c r="B95" s="68" t="s">
        <v>170</v>
      </c>
      <c r="C95" s="68" t="s">
        <v>96</v>
      </c>
      <c r="D95" s="69">
        <v>-0.048</v>
      </c>
      <c r="E95" s="177">
        <v>-0.0229</v>
      </c>
      <c r="F95" s="41" t="s">
        <v>92</v>
      </c>
      <c r="G95" s="101"/>
      <c r="H95" s="101"/>
      <c r="I95" s="35">
        <v>0.0283</v>
      </c>
      <c r="J95" s="35">
        <f>(1+I95)*J92</f>
        <v>2.73920101394811</v>
      </c>
      <c r="K95" s="35"/>
      <c r="L95" s="35"/>
      <c r="M95" s="36"/>
      <c r="N95" s="36"/>
      <c r="O95" s="36"/>
      <c r="P95" s="36"/>
      <c r="Q95" s="203">
        <f ca="1">S95/R95</f>
        <v>0.0504201680672269</v>
      </c>
      <c r="R95" s="204">
        <f ca="1">VLOOKUP(INDIRECT("A"&amp;ROW()),收益表!$A$16:$U$10014,20,0)</f>
        <v>119</v>
      </c>
      <c r="S95" s="204">
        <f ca="1">VLOOKUP(INDIRECT("A"&amp;ROW()),收益表!$A$16:$U$10014,21,0)</f>
        <v>6</v>
      </c>
      <c r="T95" s="194"/>
      <c r="U95" s="195"/>
      <c r="V95" s="195"/>
      <c r="W95" s="196"/>
    </row>
    <row r="96" s="127" customFormat="1" spans="1:23">
      <c r="A96" s="162"/>
      <c r="B96" s="181" t="s">
        <v>171</v>
      </c>
      <c r="C96" s="181" t="s">
        <v>70</v>
      </c>
      <c r="D96" s="182">
        <v>0.0123</v>
      </c>
      <c r="E96" s="183">
        <v>-0.0389</v>
      </c>
      <c r="F96" s="168"/>
      <c r="G96" s="169"/>
      <c r="H96" s="169"/>
      <c r="I96" s="35"/>
      <c r="J96" s="35"/>
      <c r="K96" s="35"/>
      <c r="L96" s="35"/>
      <c r="M96" s="36"/>
      <c r="N96" s="36"/>
      <c r="O96" s="36"/>
      <c r="P96" s="36"/>
      <c r="Q96" s="210"/>
      <c r="R96" s="208"/>
      <c r="S96" s="208"/>
      <c r="T96" s="194"/>
      <c r="U96" s="195"/>
      <c r="V96" s="195"/>
      <c r="W96" s="196"/>
    </row>
    <row r="97" s="127" customFormat="1" spans="1:23">
      <c r="A97" s="162"/>
      <c r="B97" s="38" t="s">
        <v>172</v>
      </c>
      <c r="C97" s="38" t="s">
        <v>98</v>
      </c>
      <c r="D97" s="39">
        <v>-0.0533</v>
      </c>
      <c r="E97" s="178" t="s">
        <v>92</v>
      </c>
      <c r="F97" s="171" t="s">
        <v>92</v>
      </c>
      <c r="G97" s="172" t="s">
        <v>92</v>
      </c>
      <c r="H97" s="176">
        <v>0</v>
      </c>
      <c r="I97" s="35"/>
      <c r="J97" s="35"/>
      <c r="K97" s="35"/>
      <c r="L97" s="35"/>
      <c r="M97" s="36"/>
      <c r="N97" s="36"/>
      <c r="O97" s="36"/>
      <c r="P97" s="36"/>
      <c r="Q97" s="210"/>
      <c r="R97" s="208"/>
      <c r="S97" s="208"/>
      <c r="T97" s="194"/>
      <c r="U97" s="195"/>
      <c r="V97" s="195"/>
      <c r="W97" s="196"/>
    </row>
    <row r="98" s="127" customFormat="1" spans="1:23">
      <c r="A98" s="162"/>
      <c r="B98" s="68" t="s">
        <v>163</v>
      </c>
      <c r="C98" s="68" t="s">
        <v>96</v>
      </c>
      <c r="D98" s="69">
        <v>0.0099</v>
      </c>
      <c r="E98" s="177">
        <v>-0.0408</v>
      </c>
      <c r="F98" s="175">
        <v>-0.0255</v>
      </c>
      <c r="G98" s="176">
        <v>0.0297</v>
      </c>
      <c r="H98" s="35" t="s">
        <v>101</v>
      </c>
      <c r="I98" s="35"/>
      <c r="J98" s="35"/>
      <c r="K98" s="35"/>
      <c r="L98" s="35"/>
      <c r="M98" s="36"/>
      <c r="N98" s="36"/>
      <c r="O98" s="36"/>
      <c r="P98" s="36"/>
      <c r="Q98" s="210"/>
      <c r="R98" s="208"/>
      <c r="S98" s="208"/>
      <c r="T98" s="194"/>
      <c r="U98" s="195"/>
      <c r="V98" s="195"/>
      <c r="W98" s="196"/>
    </row>
    <row r="99" s="127" customFormat="1" spans="1:23">
      <c r="A99" s="162"/>
      <c r="B99" s="72" t="s">
        <v>173</v>
      </c>
      <c r="C99" s="72" t="s">
        <v>98</v>
      </c>
      <c r="D99" s="42">
        <v>-0.0629</v>
      </c>
      <c r="E99" s="174">
        <v>0.0346</v>
      </c>
      <c r="F99" s="175">
        <v>-0.0334</v>
      </c>
      <c r="G99" s="176">
        <v>0.044</v>
      </c>
      <c r="H99" s="176">
        <v>-0.0321</v>
      </c>
      <c r="I99" s="35"/>
      <c r="J99" s="35"/>
      <c r="K99" s="35"/>
      <c r="L99" s="35"/>
      <c r="M99" s="36"/>
      <c r="N99" s="36"/>
      <c r="O99" s="36"/>
      <c r="P99" s="36"/>
      <c r="Q99" s="210"/>
      <c r="R99" s="208"/>
      <c r="S99" s="208"/>
      <c r="T99" s="194"/>
      <c r="U99" s="195"/>
      <c r="V99" s="195"/>
      <c r="W99" s="196"/>
    </row>
    <row r="100" s="127" customFormat="1" spans="1:23">
      <c r="A100" s="162"/>
      <c r="B100" s="72" t="s">
        <v>174</v>
      </c>
      <c r="C100" s="72" t="s">
        <v>98</v>
      </c>
      <c r="D100" s="42">
        <v>0.0138</v>
      </c>
      <c r="E100" s="174" t="s">
        <v>175</v>
      </c>
      <c r="F100" s="41"/>
      <c r="G100" s="35"/>
      <c r="H100" s="35"/>
      <c r="I100" s="35"/>
      <c r="J100" s="35"/>
      <c r="K100" s="35"/>
      <c r="L100" s="35"/>
      <c r="M100" s="36"/>
      <c r="N100" s="36"/>
      <c r="O100" s="36"/>
      <c r="P100" s="36"/>
      <c r="Q100" s="205"/>
      <c r="R100" s="193"/>
      <c r="S100" s="193"/>
      <c r="T100" s="194"/>
      <c r="U100" s="195"/>
      <c r="V100" s="195"/>
      <c r="W100" s="196"/>
    </row>
    <row r="101" s="127" customFormat="1" spans="1:23">
      <c r="A101" s="162">
        <v>45637</v>
      </c>
      <c r="B101" s="72" t="s">
        <v>176</v>
      </c>
      <c r="C101" s="72" t="s">
        <v>91</v>
      </c>
      <c r="D101" s="42">
        <v>-0.026</v>
      </c>
      <c r="E101" s="174">
        <v>0.032</v>
      </c>
      <c r="F101" s="41" t="s">
        <v>101</v>
      </c>
      <c r="G101" s="35"/>
      <c r="H101" s="35"/>
      <c r="I101" s="35">
        <v>0.032</v>
      </c>
      <c r="J101" s="35">
        <f>(1+I101)*J95</f>
        <v>2.82685544639445</v>
      </c>
      <c r="K101" s="35">
        <v>0.032</v>
      </c>
      <c r="L101" s="35">
        <f>(1+K101)*L92</f>
        <v>2.91465950789989</v>
      </c>
      <c r="M101" s="36"/>
      <c r="N101" s="36"/>
      <c r="O101" s="36"/>
      <c r="P101" s="36"/>
      <c r="Q101" s="199">
        <f ca="1" t="shared" ref="Q101:Q105" si="6">S101/R101</f>
        <v>0.0705128205128205</v>
      </c>
      <c r="R101" s="198">
        <f ca="1">VLOOKUP(INDIRECT("A"&amp;ROW()),收益表!$A$16:$U$10014,20,0)</f>
        <v>156</v>
      </c>
      <c r="S101" s="198">
        <f ca="1">VLOOKUP(INDIRECT("A"&amp;ROW()),收益表!$A$16:$U$10014,21,0)</f>
        <v>11</v>
      </c>
      <c r="T101" s="194"/>
      <c r="U101" s="195"/>
      <c r="V101" s="195"/>
      <c r="W101" s="196"/>
    </row>
    <row r="102" s="127" customFormat="1" spans="1:23">
      <c r="A102" s="162">
        <v>45638</v>
      </c>
      <c r="B102" s="72" t="s">
        <v>177</v>
      </c>
      <c r="C102" s="72" t="s">
        <v>98</v>
      </c>
      <c r="D102" s="42">
        <v>0.0415</v>
      </c>
      <c r="E102" s="174" t="s">
        <v>178</v>
      </c>
      <c r="F102" s="41"/>
      <c r="G102" s="35"/>
      <c r="H102" s="35"/>
      <c r="I102" s="35">
        <v>0.0517</v>
      </c>
      <c r="J102" s="35">
        <f>(1+I102)*J101</f>
        <v>2.97300387297305</v>
      </c>
      <c r="K102" s="35">
        <v>0.0517</v>
      </c>
      <c r="L102" s="35">
        <f>(1+K102)*L101</f>
        <v>3.06534740445832</v>
      </c>
      <c r="M102" s="36"/>
      <c r="N102" s="36"/>
      <c r="O102" s="36"/>
      <c r="P102" s="36"/>
      <c r="Q102" s="203">
        <f ca="1" t="shared" si="6"/>
        <v>0.0451612903225806</v>
      </c>
      <c r="R102" s="204">
        <f ca="1">VLOOKUP(INDIRECT("A"&amp;ROW()),收益表!$A$16:$U$10014,20,0)</f>
        <v>155</v>
      </c>
      <c r="S102" s="204">
        <f ca="1">VLOOKUP(INDIRECT("A"&amp;ROW()),收益表!$A$16:$U$10014,21,0)</f>
        <v>7</v>
      </c>
      <c r="T102" s="194"/>
      <c r="U102" s="195"/>
      <c r="V102" s="195"/>
      <c r="W102" s="196"/>
    </row>
    <row r="103" s="127" customFormat="1" spans="1:23">
      <c r="A103" s="162"/>
      <c r="B103" s="165" t="s">
        <v>140</v>
      </c>
      <c r="C103" s="165" t="s">
        <v>88</v>
      </c>
      <c r="D103" s="166">
        <v>0.0573</v>
      </c>
      <c r="E103" s="167">
        <v>-0.0217</v>
      </c>
      <c r="F103" s="168"/>
      <c r="G103" s="169"/>
      <c r="H103" s="169"/>
      <c r="I103" s="35"/>
      <c r="J103" s="35"/>
      <c r="K103" s="35"/>
      <c r="L103" s="35"/>
      <c r="M103" s="36"/>
      <c r="N103" s="36"/>
      <c r="O103" s="36"/>
      <c r="P103" s="36"/>
      <c r="Q103" s="205"/>
      <c r="R103" s="193"/>
      <c r="S103" s="193"/>
      <c r="T103" s="194"/>
      <c r="U103" s="195"/>
      <c r="V103" s="195"/>
      <c r="W103" s="196"/>
    </row>
    <row r="104" spans="1:23">
      <c r="A104" s="71">
        <v>45639</v>
      </c>
      <c r="B104" s="14"/>
      <c r="C104" s="163"/>
      <c r="D104" s="30"/>
      <c r="E104" s="164"/>
      <c r="F104" s="32"/>
      <c r="G104" s="33"/>
      <c r="H104" s="33"/>
      <c r="I104" s="33"/>
      <c r="J104" s="33"/>
      <c r="K104" s="33"/>
      <c r="L104" s="33"/>
      <c r="M104" s="7"/>
      <c r="N104" s="7"/>
      <c r="O104" s="7"/>
      <c r="Q104" s="199">
        <f ca="1" t="shared" si="6"/>
        <v>0.17</v>
      </c>
      <c r="R104" s="198">
        <f ca="1">VLOOKUP(INDIRECT("A"&amp;ROW()),收益表!$A$16:$U$10014,20,0)</f>
        <v>100</v>
      </c>
      <c r="S104" s="198">
        <f ca="1">VLOOKUP(INDIRECT("A"&amp;ROW()),收益表!$A$16:$U$10014,21,0)</f>
        <v>17</v>
      </c>
      <c r="T104" s="194"/>
      <c r="U104" s="195"/>
      <c r="V104" s="195"/>
      <c r="W104" s="196"/>
    </row>
    <row r="105" spans="1:23">
      <c r="A105" s="162">
        <v>45642</v>
      </c>
      <c r="B105" s="68" t="s">
        <v>179</v>
      </c>
      <c r="C105" s="68" t="s">
        <v>98</v>
      </c>
      <c r="D105" s="69">
        <v>-0.038</v>
      </c>
      <c r="E105" s="177">
        <v>-0.0745</v>
      </c>
      <c r="F105" s="175">
        <v>-0.0854</v>
      </c>
      <c r="G105" s="35" t="s">
        <v>92</v>
      </c>
      <c r="H105" s="101"/>
      <c r="I105" s="101">
        <v>-0.0745</v>
      </c>
      <c r="J105" s="101">
        <f>(1+I105)*J102</f>
        <v>2.75151508443655</v>
      </c>
      <c r="K105" s="101"/>
      <c r="L105" s="101"/>
      <c r="M105" s="188"/>
      <c r="N105" s="188"/>
      <c r="O105" s="188"/>
      <c r="P105" s="188"/>
      <c r="Q105" s="211">
        <f ca="1" t="shared" si="6"/>
        <v>0.260869565217391</v>
      </c>
      <c r="R105" s="198">
        <f ca="1">VLOOKUP(INDIRECT("A"&amp;ROW()),收益表!$A$16:$U$10014,20,0)</f>
        <v>115</v>
      </c>
      <c r="S105" s="198">
        <f ca="1">VLOOKUP(INDIRECT("A"&amp;ROW()),收益表!$A$16:$U$10014,21,0)</f>
        <v>30</v>
      </c>
      <c r="T105" s="194"/>
      <c r="U105" s="195"/>
      <c r="V105" s="195"/>
      <c r="W105" s="196"/>
    </row>
    <row r="106" spans="1:23">
      <c r="A106" s="71">
        <v>45643</v>
      </c>
      <c r="B106" s="14"/>
      <c r="C106" s="163"/>
      <c r="D106" s="30"/>
      <c r="E106" s="164"/>
      <c r="F106" s="32"/>
      <c r="G106" s="33"/>
      <c r="H106" s="33"/>
      <c r="I106" s="33"/>
      <c r="J106" s="33"/>
      <c r="K106" s="33"/>
      <c r="L106" s="33"/>
      <c r="M106" s="7"/>
      <c r="N106" s="7"/>
      <c r="O106" s="7"/>
      <c r="Q106" s="211">
        <f ca="1" t="shared" ref="Q106:Q113" si="7">S106/R106</f>
        <v>5.2258064516129</v>
      </c>
      <c r="R106" s="198">
        <f ca="1">VLOOKUP(INDIRECT("A"&amp;ROW()),收益表!$A$16:$U$10014,20,0)</f>
        <v>31</v>
      </c>
      <c r="S106" s="198">
        <f ca="1">VLOOKUP(INDIRECT("A"&amp;ROW()),收益表!$A$16:$U$10014,21,0)</f>
        <v>162</v>
      </c>
      <c r="T106" s="194"/>
      <c r="U106" s="195"/>
      <c r="V106" s="195"/>
      <c r="W106" s="196"/>
    </row>
    <row r="107" spans="1:23">
      <c r="A107" s="162">
        <v>45644</v>
      </c>
      <c r="B107" s="38" t="s">
        <v>180</v>
      </c>
      <c r="C107" s="38" t="s">
        <v>96</v>
      </c>
      <c r="D107" s="39">
        <v>0.0598</v>
      </c>
      <c r="E107" s="178" t="s">
        <v>92</v>
      </c>
      <c r="F107" s="65" t="s">
        <v>89</v>
      </c>
      <c r="G107" s="101" t="s">
        <v>89</v>
      </c>
      <c r="H107" s="101" t="s">
        <v>89</v>
      </c>
      <c r="I107" s="35">
        <v>0.1</v>
      </c>
      <c r="J107" s="35">
        <f>(1+I107)*J105</f>
        <v>3.02666659288021</v>
      </c>
      <c r="K107" s="35"/>
      <c r="L107" s="35"/>
      <c r="M107" s="36"/>
      <c r="N107" s="36"/>
      <c r="O107" s="36"/>
      <c r="P107" s="36"/>
      <c r="Q107" s="203">
        <f ca="1" t="shared" si="7"/>
        <v>0.138888888888889</v>
      </c>
      <c r="R107" s="204">
        <f ca="1">VLOOKUP(INDIRECT("A"&amp;ROW()),收益表!$A$16:$U$10014,20,0)</f>
        <v>108</v>
      </c>
      <c r="S107" s="204">
        <f ca="1">VLOOKUP(INDIRECT("A"&amp;ROW()),收益表!$A$16:$U$10014,21,0)</f>
        <v>15</v>
      </c>
      <c r="T107" s="194"/>
      <c r="U107" s="195"/>
      <c r="V107" s="195"/>
      <c r="W107" s="196"/>
    </row>
    <row r="108" spans="1:23">
      <c r="A108" s="162"/>
      <c r="B108" s="38" t="s">
        <v>181</v>
      </c>
      <c r="C108" s="38" t="s">
        <v>98</v>
      </c>
      <c r="D108" s="39">
        <v>-0.0814</v>
      </c>
      <c r="E108" s="178" t="s">
        <v>92</v>
      </c>
      <c r="F108" s="65" t="s">
        <v>89</v>
      </c>
      <c r="G108" s="176">
        <v>-0.0085</v>
      </c>
      <c r="H108" s="176">
        <v>0.088</v>
      </c>
      <c r="I108" s="35"/>
      <c r="J108" s="35"/>
      <c r="K108" s="35"/>
      <c r="L108" s="35"/>
      <c r="M108" s="36"/>
      <c r="N108" s="36"/>
      <c r="O108" s="36"/>
      <c r="P108" s="36"/>
      <c r="Q108" s="210"/>
      <c r="R108" s="208"/>
      <c r="S108" s="208"/>
      <c r="T108" s="194"/>
      <c r="U108" s="195"/>
      <c r="V108" s="195"/>
      <c r="W108" s="196"/>
    </row>
    <row r="109" spans="1:23">
      <c r="A109" s="162"/>
      <c r="B109" s="181" t="s">
        <v>182</v>
      </c>
      <c r="C109" s="181" t="s">
        <v>70</v>
      </c>
      <c r="D109" s="182">
        <v>0.0123</v>
      </c>
      <c r="E109" s="183" t="s">
        <v>92</v>
      </c>
      <c r="F109" s="168"/>
      <c r="G109" s="173"/>
      <c r="H109" s="169"/>
      <c r="I109" s="35"/>
      <c r="J109" s="35"/>
      <c r="K109" s="35"/>
      <c r="L109" s="35"/>
      <c r="M109" s="36"/>
      <c r="N109" s="36"/>
      <c r="O109" s="36"/>
      <c r="P109" s="36"/>
      <c r="Q109" s="205"/>
      <c r="R109" s="193"/>
      <c r="S109" s="193"/>
      <c r="T109" s="194"/>
      <c r="U109" s="195"/>
      <c r="V109" s="195"/>
      <c r="W109" s="196"/>
    </row>
    <row r="110" spans="1:23">
      <c r="A110" s="71">
        <v>45645</v>
      </c>
      <c r="B110" s="14"/>
      <c r="C110" s="163"/>
      <c r="D110" s="30"/>
      <c r="E110" s="164"/>
      <c r="F110" s="32"/>
      <c r="G110" s="33"/>
      <c r="H110" s="33"/>
      <c r="I110" s="33"/>
      <c r="J110" s="33"/>
      <c r="K110" s="33"/>
      <c r="L110" s="33"/>
      <c r="M110" s="7"/>
      <c r="N110" s="7"/>
      <c r="O110" s="7"/>
      <c r="Q110" s="211">
        <f ca="1" t="shared" si="7"/>
        <v>0.308641975308642</v>
      </c>
      <c r="R110" s="198">
        <f ca="1">VLOOKUP(INDIRECT("A"&amp;ROW()),收益表!$A$16:$U$10014,20,0)</f>
        <v>81</v>
      </c>
      <c r="S110" s="198">
        <f ca="1">VLOOKUP(INDIRECT("A"&amp;ROW()),收益表!$A$16:$U$10014,21,0)</f>
        <v>25</v>
      </c>
      <c r="T110" s="194"/>
      <c r="U110" s="195"/>
      <c r="V110" s="195"/>
      <c r="W110" s="196"/>
    </row>
    <row r="111" spans="1:23">
      <c r="A111" s="162">
        <v>45646</v>
      </c>
      <c r="B111" s="45" t="s">
        <v>183</v>
      </c>
      <c r="C111" s="45" t="s">
        <v>98</v>
      </c>
      <c r="D111" s="46">
        <v>0.0116</v>
      </c>
      <c r="E111" s="180" t="s">
        <v>89</v>
      </c>
      <c r="F111" s="213" t="s">
        <v>89</v>
      </c>
      <c r="G111" s="176">
        <v>-0.0756</v>
      </c>
      <c r="H111" s="176">
        <v>-0.0521</v>
      </c>
      <c r="I111" s="101">
        <v>-0.1</v>
      </c>
      <c r="J111" s="101">
        <f>(1+I111)*J107</f>
        <v>2.72399993359219</v>
      </c>
      <c r="K111" s="101"/>
      <c r="L111" s="101"/>
      <c r="M111" s="188"/>
      <c r="N111" s="188"/>
      <c r="O111" s="188"/>
      <c r="P111" s="188"/>
      <c r="Q111" s="211">
        <f ca="1" t="shared" si="7"/>
        <v>0.163265306122449</v>
      </c>
      <c r="R111" s="198">
        <f ca="1">VLOOKUP(INDIRECT("A"&amp;ROW()),收益表!$A$16:$U$10014,20,0)</f>
        <v>98</v>
      </c>
      <c r="S111" s="198">
        <f ca="1">VLOOKUP(INDIRECT("A"&amp;ROW()),收益表!$A$16:$U$10014,21,0)</f>
        <v>16</v>
      </c>
      <c r="T111" s="194"/>
      <c r="U111" s="195"/>
      <c r="V111" s="195"/>
      <c r="W111" s="196"/>
    </row>
    <row r="112" spans="1:23">
      <c r="A112" s="162">
        <v>45649</v>
      </c>
      <c r="B112" s="45" t="s">
        <v>184</v>
      </c>
      <c r="C112" s="45" t="s">
        <v>98</v>
      </c>
      <c r="D112" s="46">
        <v>-0.0377</v>
      </c>
      <c r="E112" s="180" t="s">
        <v>89</v>
      </c>
      <c r="F112" s="213" t="s">
        <v>89</v>
      </c>
      <c r="G112" s="214" t="s">
        <v>89</v>
      </c>
      <c r="H112" s="176">
        <v>-0.093</v>
      </c>
      <c r="I112" s="101">
        <v>-0.1</v>
      </c>
      <c r="J112" s="101">
        <f>(1+I112)*J111</f>
        <v>2.45159994023297</v>
      </c>
      <c r="K112" s="101"/>
      <c r="L112" s="101"/>
      <c r="M112" s="188"/>
      <c r="N112" s="188"/>
      <c r="O112" s="188"/>
      <c r="P112" s="188"/>
      <c r="Q112" s="211">
        <f ca="1" t="shared" si="7"/>
        <v>6.27272727272727</v>
      </c>
      <c r="R112" s="198">
        <f ca="1">VLOOKUP(INDIRECT("A"&amp;ROW()),收益表!$A$16:$U$10014,20,0)</f>
        <v>33</v>
      </c>
      <c r="S112" s="198">
        <f ca="1">VLOOKUP(INDIRECT("A"&amp;ROW()),收益表!$A$16:$U$10014,21,0)</f>
        <v>207</v>
      </c>
      <c r="T112" s="194"/>
      <c r="U112" s="195"/>
      <c r="V112" s="195"/>
      <c r="W112" s="196"/>
    </row>
    <row r="113" spans="1:23">
      <c r="A113" s="162">
        <v>45650</v>
      </c>
      <c r="B113" s="165" t="s">
        <v>185</v>
      </c>
      <c r="C113" s="165" t="s">
        <v>88</v>
      </c>
      <c r="D113" s="166">
        <v>-0.1005</v>
      </c>
      <c r="E113" s="167" t="s">
        <v>89</v>
      </c>
      <c r="F113" s="175"/>
      <c r="G113" s="176"/>
      <c r="H113" s="176"/>
      <c r="I113" s="35">
        <v>0.0157</v>
      </c>
      <c r="J113" s="35">
        <f>(1+I113)*J112</f>
        <v>2.49009005929463</v>
      </c>
      <c r="K113" s="35"/>
      <c r="L113" s="35"/>
      <c r="M113" s="36"/>
      <c r="N113" s="36"/>
      <c r="O113" s="36"/>
      <c r="P113" s="36"/>
      <c r="Q113" s="203">
        <f ca="1" t="shared" si="7"/>
        <v>0.44578313253012</v>
      </c>
      <c r="R113" s="204">
        <f ca="1">VLOOKUP(INDIRECT("A"&amp;ROW()),收益表!$A$16:$U$10014,20,0)</f>
        <v>83</v>
      </c>
      <c r="S113" s="204">
        <f ca="1">VLOOKUP(INDIRECT("A"&amp;ROW()),收益表!$A$16:$U$10014,21,0)</f>
        <v>37</v>
      </c>
      <c r="T113" s="194"/>
      <c r="U113" s="195"/>
      <c r="V113" s="195"/>
      <c r="W113" s="196"/>
    </row>
    <row r="114" spans="1:23">
      <c r="A114" s="162"/>
      <c r="B114" s="72" t="s">
        <v>186</v>
      </c>
      <c r="C114" s="72" t="s">
        <v>98</v>
      </c>
      <c r="D114" s="42">
        <v>0.0169</v>
      </c>
      <c r="E114" s="174">
        <v>0.0157</v>
      </c>
      <c r="F114" s="65" t="s">
        <v>89</v>
      </c>
      <c r="G114" s="176">
        <v>0.0104</v>
      </c>
      <c r="H114" s="176">
        <v>-0.0897</v>
      </c>
      <c r="I114" s="35"/>
      <c r="J114" s="35"/>
      <c r="K114" s="35"/>
      <c r="L114" s="35"/>
      <c r="M114" s="36"/>
      <c r="N114" s="36"/>
      <c r="O114" s="36"/>
      <c r="P114" s="36"/>
      <c r="Q114" s="205"/>
      <c r="R114" s="193"/>
      <c r="S114" s="193"/>
      <c r="T114" s="194"/>
      <c r="U114" s="195"/>
      <c r="V114" s="195"/>
      <c r="W114" s="196"/>
    </row>
    <row r="115" spans="1:23">
      <c r="A115" s="162">
        <v>45651</v>
      </c>
      <c r="B115" s="38" t="s">
        <v>187</v>
      </c>
      <c r="C115" s="38" t="s">
        <v>96</v>
      </c>
      <c r="D115" s="39">
        <v>0.0632</v>
      </c>
      <c r="E115" s="178" t="s">
        <v>92</v>
      </c>
      <c r="F115" s="171" t="s">
        <v>92</v>
      </c>
      <c r="G115" s="176">
        <v>0.0313</v>
      </c>
      <c r="H115" s="176">
        <v>-0.0419</v>
      </c>
      <c r="I115" s="35">
        <v>0.1</v>
      </c>
      <c r="J115" s="35">
        <f>(1+I115)*J113</f>
        <v>2.73909906522409</v>
      </c>
      <c r="K115" s="35">
        <v>0.1</v>
      </c>
      <c r="L115" s="35">
        <f>(1+K115)*L102</f>
        <v>3.37188214490415</v>
      </c>
      <c r="M115" s="36"/>
      <c r="N115" s="36"/>
      <c r="O115" s="36"/>
      <c r="P115" s="36"/>
      <c r="Q115" s="211">
        <f ca="1">S115/R115</f>
        <v>1.34782608695652</v>
      </c>
      <c r="R115" s="198">
        <f ca="1">VLOOKUP(INDIRECT("A"&amp;ROW()),收益表!$A$16:$U$10014,20,0)</f>
        <v>46</v>
      </c>
      <c r="S115" s="198">
        <f ca="1">VLOOKUP(INDIRECT("A"&amp;ROW()),收益表!$A$16:$U$10014,21,0)</f>
        <v>62</v>
      </c>
      <c r="T115" s="194"/>
      <c r="U115" s="195"/>
      <c r="V115" s="195"/>
      <c r="W115" s="196"/>
    </row>
    <row r="116" spans="1:23">
      <c r="A116" s="162">
        <v>45652</v>
      </c>
      <c r="B116" s="72" t="s">
        <v>188</v>
      </c>
      <c r="C116" s="72" t="s">
        <v>98</v>
      </c>
      <c r="D116" s="42">
        <v>0.0429</v>
      </c>
      <c r="E116" s="174">
        <v>0.0235</v>
      </c>
      <c r="F116" s="41" t="s">
        <v>92</v>
      </c>
      <c r="G116" s="35" t="s">
        <v>189</v>
      </c>
      <c r="H116" s="176">
        <v>-0.0617</v>
      </c>
      <c r="I116" s="220">
        <v>0.008</v>
      </c>
      <c r="J116" s="35">
        <f>(1+I116)*J115</f>
        <v>2.76101185774588</v>
      </c>
      <c r="K116" s="220"/>
      <c r="L116" s="35"/>
      <c r="M116" s="36"/>
      <c r="N116" s="36"/>
      <c r="O116" s="36"/>
      <c r="P116" s="36"/>
      <c r="Q116" s="203">
        <f ca="1">S116/R116</f>
        <v>0.0841121495327103</v>
      </c>
      <c r="R116" s="204">
        <f ca="1">VLOOKUP(INDIRECT("A"&amp;ROW()),收益表!$A$16:$U$10014,20,0)</f>
        <v>107</v>
      </c>
      <c r="S116" s="204">
        <f ca="1">VLOOKUP(INDIRECT("A"&amp;ROW()),收益表!$A$16:$U$10014,21,0)</f>
        <v>9</v>
      </c>
      <c r="T116" s="194"/>
      <c r="U116" s="195"/>
      <c r="V116" s="195"/>
      <c r="W116" s="196"/>
    </row>
    <row r="117" spans="1:23">
      <c r="A117" s="162"/>
      <c r="B117" s="68" t="s">
        <v>190</v>
      </c>
      <c r="C117" s="68" t="s">
        <v>98</v>
      </c>
      <c r="D117" s="69">
        <v>-0.0657</v>
      </c>
      <c r="E117" s="177">
        <v>-0.0074</v>
      </c>
      <c r="F117" s="175">
        <v>-0.0672</v>
      </c>
      <c r="G117" s="176">
        <v>-0.0733</v>
      </c>
      <c r="H117" s="176">
        <v>-0.0619</v>
      </c>
      <c r="I117" s="35"/>
      <c r="J117" s="35"/>
      <c r="K117" s="35"/>
      <c r="L117" s="35"/>
      <c r="M117" s="36"/>
      <c r="N117" s="36"/>
      <c r="O117" s="36"/>
      <c r="P117" s="36"/>
      <c r="Q117" s="205"/>
      <c r="R117" s="193"/>
      <c r="S117" s="193"/>
      <c r="T117" s="194"/>
      <c r="U117" s="195"/>
      <c r="V117" s="195"/>
      <c r="W117" s="196"/>
    </row>
    <row r="118" spans="1:23">
      <c r="A118" s="71">
        <v>45653</v>
      </c>
      <c r="B118" s="14"/>
      <c r="C118" s="163"/>
      <c r="D118" s="30"/>
      <c r="E118" s="164"/>
      <c r="F118" s="32"/>
      <c r="G118" s="33"/>
      <c r="H118" s="33"/>
      <c r="I118" s="33"/>
      <c r="J118" s="33"/>
      <c r="K118" s="33"/>
      <c r="L118" s="33"/>
      <c r="M118" s="7"/>
      <c r="N118" s="7"/>
      <c r="O118" s="7"/>
      <c r="Q118" s="199">
        <f ca="1" t="shared" ref="Q118:Q123" si="8">S118/R118</f>
        <v>0.164556962025316</v>
      </c>
      <c r="R118" s="198">
        <f ca="1">VLOOKUP(INDIRECT("A"&amp;ROW()),收益表!$A$16:$U$10014,20,0)</f>
        <v>79</v>
      </c>
      <c r="S118" s="198">
        <f ca="1">VLOOKUP(INDIRECT("A"&amp;ROW()),收益表!$A$16:$U$10014,21,0)</f>
        <v>13</v>
      </c>
      <c r="T118" s="194"/>
      <c r="U118" s="195"/>
      <c r="V118" s="195"/>
      <c r="W118" s="196"/>
    </row>
    <row r="119" spans="1:23">
      <c r="A119" s="71">
        <v>45656</v>
      </c>
      <c r="B119" s="181" t="s">
        <v>191</v>
      </c>
      <c r="C119" s="181" t="s">
        <v>70</v>
      </c>
      <c r="D119" s="182">
        <v>-0.0627</v>
      </c>
      <c r="E119" s="183">
        <v>-0.0798</v>
      </c>
      <c r="F119" s="175">
        <v>-0.0393</v>
      </c>
      <c r="G119" s="176" t="s">
        <v>192</v>
      </c>
      <c r="H119" s="176" t="s">
        <v>89</v>
      </c>
      <c r="I119" s="33"/>
      <c r="J119" s="33"/>
      <c r="K119" s="33"/>
      <c r="L119" s="33"/>
      <c r="M119" s="7"/>
      <c r="N119" s="7"/>
      <c r="O119" s="7"/>
      <c r="Q119" s="211">
        <f ca="1" t="shared" si="8"/>
        <v>0.37037037037037</v>
      </c>
      <c r="R119" s="198">
        <f ca="1">VLOOKUP(INDIRECT("A"&amp;ROW()),收益表!$A$16:$U$10014,20,0)</f>
        <v>54</v>
      </c>
      <c r="S119" s="198">
        <f ca="1">VLOOKUP(INDIRECT("A"&amp;ROW()),收益表!$A$16:$U$10014,21,0)</f>
        <v>20</v>
      </c>
      <c r="T119" s="194"/>
      <c r="U119" s="195"/>
      <c r="V119" s="195"/>
      <c r="W119" s="196"/>
    </row>
    <row r="120" ht="16.25" spans="1:23">
      <c r="A120" s="71">
        <v>45657</v>
      </c>
      <c r="B120" s="68"/>
      <c r="C120" s="68"/>
      <c r="D120" s="69"/>
      <c r="E120" s="177"/>
      <c r="F120" s="32"/>
      <c r="G120" s="33"/>
      <c r="H120" s="33"/>
      <c r="I120" s="101"/>
      <c r="J120" s="101"/>
      <c r="K120" s="101"/>
      <c r="L120" s="101"/>
      <c r="M120" s="188"/>
      <c r="N120" s="188"/>
      <c r="O120" s="188"/>
      <c r="Q120" s="211">
        <f ca="1" t="shared" si="8"/>
        <v>0.526315789473684</v>
      </c>
      <c r="R120" s="198">
        <f ca="1">VLOOKUP(INDIRECT("A"&amp;ROW()),收益表!$A$16:$U$10014,20,0)</f>
        <v>57</v>
      </c>
      <c r="S120" s="198">
        <f ca="1">VLOOKUP(INDIRECT("A"&amp;ROW()),收益表!$A$16:$U$10014,21,0)</f>
        <v>30</v>
      </c>
      <c r="T120" s="194"/>
      <c r="U120" s="195"/>
      <c r="V120" s="195"/>
      <c r="W120" s="196"/>
    </row>
    <row r="121" ht="16.25" spans="1:23">
      <c r="A121" s="71">
        <v>45659</v>
      </c>
      <c r="B121" s="14"/>
      <c r="C121" s="163"/>
      <c r="D121" s="30"/>
      <c r="E121" s="164"/>
      <c r="F121" s="32"/>
      <c r="G121" s="33"/>
      <c r="H121" s="33"/>
      <c r="I121" s="33"/>
      <c r="J121" s="33"/>
      <c r="K121" s="33"/>
      <c r="L121" s="30"/>
      <c r="M121" s="221" t="s">
        <v>193</v>
      </c>
      <c r="N121" s="222"/>
      <c r="O121" s="222"/>
      <c r="P121" s="223"/>
      <c r="Q121" s="211">
        <f ca="1" t="shared" si="8"/>
        <v>0.477611940298507</v>
      </c>
      <c r="R121" s="198">
        <f ca="1">VLOOKUP(INDIRECT("A"&amp;ROW()),收益表!$A$16:$U$10014,20,0)</f>
        <v>67</v>
      </c>
      <c r="S121" s="198">
        <f ca="1">VLOOKUP(INDIRECT("A"&amp;ROW()),收益表!$A$16:$U$10014,21,0)</f>
        <v>32</v>
      </c>
      <c r="T121" s="194"/>
      <c r="U121" s="195"/>
      <c r="V121" s="195"/>
      <c r="W121" s="196"/>
    </row>
    <row r="122" spans="1:23">
      <c r="A122" s="71">
        <v>45660</v>
      </c>
      <c r="B122" s="14"/>
      <c r="C122" s="163"/>
      <c r="D122" s="53"/>
      <c r="F122" s="104"/>
      <c r="G122" s="33"/>
      <c r="H122" s="33"/>
      <c r="I122" s="33"/>
      <c r="J122" s="33"/>
      <c r="K122" s="33"/>
      <c r="L122" s="30"/>
      <c r="M122" s="224"/>
      <c r="P122" s="225"/>
      <c r="Q122" s="211">
        <f ca="1" t="shared" si="8"/>
        <v>2.01818181818182</v>
      </c>
      <c r="R122" s="198">
        <f ca="1">VLOOKUP(INDIRECT("A"&amp;ROW()),收益表!$A$16:$U$10014,20,0)</f>
        <v>55</v>
      </c>
      <c r="S122" s="198">
        <f ca="1">VLOOKUP(INDIRECT("A"&amp;ROW()),收益表!$A$16:$U$10014,21,0)</f>
        <v>111</v>
      </c>
      <c r="T122" s="194"/>
      <c r="U122" s="195"/>
      <c r="V122" s="195"/>
      <c r="W122" s="196"/>
    </row>
    <row r="123" spans="1:23">
      <c r="A123" s="215">
        <v>45663</v>
      </c>
      <c r="B123" s="181" t="s">
        <v>194</v>
      </c>
      <c r="C123" s="181" t="s">
        <v>70</v>
      </c>
      <c r="D123" s="216" t="s">
        <v>89</v>
      </c>
      <c r="E123" s="216" t="s">
        <v>89</v>
      </c>
      <c r="F123" s="176">
        <v>-0.0855</v>
      </c>
      <c r="G123" s="176">
        <v>0.0475</v>
      </c>
      <c r="H123" s="35" t="s">
        <v>92</v>
      </c>
      <c r="I123" s="121">
        <v>-0.1</v>
      </c>
      <c r="J123" s="121">
        <f>(1+I123)*J116</f>
        <v>2.4849106719713</v>
      </c>
      <c r="K123" s="52"/>
      <c r="L123" s="53"/>
      <c r="M123" s="224"/>
      <c r="P123" s="225"/>
      <c r="Q123" s="206">
        <f ca="1" t="shared" si="8"/>
        <v>1.33823529411765</v>
      </c>
      <c r="R123" s="204">
        <f ca="1">VLOOKUP(INDIRECT("A"&amp;ROW()),收益表!$A$16:$U$10014,20,0)</f>
        <v>68</v>
      </c>
      <c r="S123" s="204">
        <f ca="1">VLOOKUP(INDIRECT("A"&amp;ROW()),收益表!$A$16:$U$10014,21,0)</f>
        <v>91</v>
      </c>
      <c r="T123" s="194"/>
      <c r="U123" s="195"/>
      <c r="V123" s="195"/>
      <c r="W123" s="196"/>
    </row>
    <row r="124" spans="1:23">
      <c r="A124" s="217"/>
      <c r="B124" s="45" t="s">
        <v>195</v>
      </c>
      <c r="C124" s="45" t="s">
        <v>96</v>
      </c>
      <c r="D124" s="46" t="s">
        <v>89</v>
      </c>
      <c r="E124" s="180" t="s">
        <v>89</v>
      </c>
      <c r="F124" s="175">
        <v>-0.0313</v>
      </c>
      <c r="G124" s="175">
        <v>0.0436</v>
      </c>
      <c r="H124" s="35" t="s">
        <v>92</v>
      </c>
      <c r="I124" s="122"/>
      <c r="J124" s="122"/>
      <c r="K124" s="74"/>
      <c r="L124" s="75"/>
      <c r="M124" s="224"/>
      <c r="P124" s="225"/>
      <c r="Q124" s="209"/>
      <c r="R124" s="193"/>
      <c r="S124" s="193"/>
      <c r="T124" s="194"/>
      <c r="U124" s="195"/>
      <c r="V124" s="195"/>
      <c r="W124" s="196"/>
    </row>
    <row r="125" spans="1:23">
      <c r="A125" s="71">
        <v>45664</v>
      </c>
      <c r="B125" s="165" t="s">
        <v>196</v>
      </c>
      <c r="C125" s="165" t="s">
        <v>86</v>
      </c>
      <c r="D125" s="166">
        <v>-0.0702</v>
      </c>
      <c r="E125" s="167" t="s">
        <v>92</v>
      </c>
      <c r="F125" s="175">
        <v>0.0242</v>
      </c>
      <c r="G125" s="176">
        <v>-0.0433</v>
      </c>
      <c r="H125" s="176">
        <v>-0.0947</v>
      </c>
      <c r="I125" s="33"/>
      <c r="J125" s="33"/>
      <c r="K125" s="33"/>
      <c r="L125" s="30"/>
      <c r="M125" s="224"/>
      <c r="P125" s="225"/>
      <c r="Q125" s="199">
        <f ca="1" t="shared" ref="Q125:Q129" si="9">S125/R125</f>
        <v>0.173076923076923</v>
      </c>
      <c r="R125" s="198">
        <f ca="1">VLOOKUP(INDIRECT("A"&amp;ROW()),收益表!$A$16:$U$10014,20,0)</f>
        <v>104</v>
      </c>
      <c r="S125" s="198">
        <f ca="1">VLOOKUP(INDIRECT("A"&amp;ROW()),收益表!$A$16:$U$10014,21,0)</f>
        <v>18</v>
      </c>
      <c r="T125" s="194"/>
      <c r="U125" s="195"/>
      <c r="V125" s="195"/>
      <c r="W125" s="196"/>
    </row>
    <row r="126" spans="1:23">
      <c r="A126" s="162">
        <v>45665</v>
      </c>
      <c r="B126" s="218" t="s">
        <v>197</v>
      </c>
      <c r="C126" s="72" t="s">
        <v>98</v>
      </c>
      <c r="D126" s="42">
        <v>-0.0043</v>
      </c>
      <c r="E126" s="174">
        <v>0.0104</v>
      </c>
      <c r="F126" s="65" t="s">
        <v>89</v>
      </c>
      <c r="G126" s="101" t="s">
        <v>89</v>
      </c>
      <c r="H126" s="173">
        <v>-0.0612</v>
      </c>
      <c r="I126" s="35">
        <v>0.0104</v>
      </c>
      <c r="J126" s="35">
        <f>(1+I126)*J123</f>
        <v>2.5107537429598</v>
      </c>
      <c r="K126" s="35">
        <v>0.0104</v>
      </c>
      <c r="L126" s="42">
        <f>(1+K126)*L115</f>
        <v>3.40694971921115</v>
      </c>
      <c r="M126" s="224"/>
      <c r="P126" s="225"/>
      <c r="Q126" s="199">
        <f ca="1" t="shared" si="9"/>
        <v>0.121621621621622</v>
      </c>
      <c r="R126" s="198">
        <f ca="1">VLOOKUP(INDIRECT("A"&amp;ROW()),收益表!$A$16:$U$10014,20,0)</f>
        <v>74</v>
      </c>
      <c r="S126" s="198">
        <f ca="1">VLOOKUP(INDIRECT("A"&amp;ROW()),收益表!$A$16:$U$10014,21,0)</f>
        <v>9</v>
      </c>
      <c r="T126" s="194"/>
      <c r="U126" s="195"/>
      <c r="V126" s="195"/>
      <c r="W126" s="196"/>
    </row>
    <row r="127" spans="1:23">
      <c r="A127" s="71">
        <v>45666</v>
      </c>
      <c r="B127" s="14"/>
      <c r="C127" s="163"/>
      <c r="D127" s="30"/>
      <c r="E127" s="164"/>
      <c r="F127" s="219"/>
      <c r="G127" s="173"/>
      <c r="H127" s="173"/>
      <c r="I127" s="33"/>
      <c r="J127" s="33"/>
      <c r="K127" s="33"/>
      <c r="L127" s="30"/>
      <c r="M127" s="224"/>
      <c r="P127" s="225"/>
      <c r="Q127" s="199">
        <f ca="1" t="shared" si="9"/>
        <v>0.11340206185567</v>
      </c>
      <c r="R127" s="198">
        <f ca="1">VLOOKUP(INDIRECT("A"&amp;ROW()),收益表!$A$16:$U$10014,20,0)</f>
        <v>97</v>
      </c>
      <c r="S127" s="198">
        <f ca="1">VLOOKUP(INDIRECT("A"&amp;ROW()),收益表!$A$16:$U$10014,21,0)</f>
        <v>11</v>
      </c>
      <c r="T127" s="194"/>
      <c r="U127" s="195"/>
      <c r="V127" s="195"/>
      <c r="W127" s="196"/>
    </row>
    <row r="128" spans="1:23">
      <c r="A128" s="71">
        <v>45667</v>
      </c>
      <c r="B128" s="72"/>
      <c r="C128" s="72"/>
      <c r="D128" s="42"/>
      <c r="E128" s="164"/>
      <c r="F128" s="32"/>
      <c r="G128" s="33"/>
      <c r="H128" s="33"/>
      <c r="I128" s="33"/>
      <c r="J128" s="33"/>
      <c r="K128" s="33"/>
      <c r="L128" s="30"/>
      <c r="M128" s="224"/>
      <c r="P128" s="225"/>
      <c r="Q128" s="211">
        <f ca="1" t="shared" si="9"/>
        <v>1.18181818181818</v>
      </c>
      <c r="R128" s="198">
        <f ca="1">VLOOKUP(INDIRECT("A"&amp;ROW()),收益表!$A$16:$U$10014,20,0)</f>
        <v>44</v>
      </c>
      <c r="S128" s="198">
        <f ca="1">VLOOKUP(INDIRECT("A"&amp;ROW()),收益表!$A$16:$U$10014,21,0)</f>
        <v>52</v>
      </c>
      <c r="T128" s="194"/>
      <c r="U128" s="195"/>
      <c r="V128" s="195"/>
      <c r="W128" s="196"/>
    </row>
    <row r="129" spans="1:23">
      <c r="A129" s="215">
        <v>45670</v>
      </c>
      <c r="B129" s="68" t="s">
        <v>198</v>
      </c>
      <c r="C129" s="68" t="s">
        <v>96</v>
      </c>
      <c r="D129" s="69" t="s">
        <v>89</v>
      </c>
      <c r="E129" s="177">
        <v>-0.0295</v>
      </c>
      <c r="F129" s="175">
        <v>0.0532</v>
      </c>
      <c r="G129" s="176">
        <v>-0.0325</v>
      </c>
      <c r="H129" s="35" t="s">
        <v>92</v>
      </c>
      <c r="I129" s="121">
        <v>-0.065</v>
      </c>
      <c r="J129" s="121">
        <f>(1+I129)*J126</f>
        <v>2.34755474966741</v>
      </c>
      <c r="K129" s="52"/>
      <c r="L129" s="53"/>
      <c r="M129" s="224"/>
      <c r="P129" s="225"/>
      <c r="Q129" s="206">
        <f ca="1" t="shared" si="9"/>
        <v>0.788461538461538</v>
      </c>
      <c r="R129" s="204">
        <f ca="1">VLOOKUP(INDIRECT("A"&amp;ROW()),收益表!$A$16:$U$10014,20,0)</f>
        <v>52</v>
      </c>
      <c r="S129" s="204">
        <f ca="1">VLOOKUP(INDIRECT("A"&amp;ROW()),收益表!$A$16:$U$10014,21,0)</f>
        <v>41</v>
      </c>
      <c r="T129" s="194"/>
      <c r="U129" s="195"/>
      <c r="V129" s="195"/>
      <c r="W129" s="196"/>
    </row>
    <row r="130" spans="1:23">
      <c r="A130" s="217"/>
      <c r="B130" s="45" t="s">
        <v>199</v>
      </c>
      <c r="C130" s="45" t="s">
        <v>98</v>
      </c>
      <c r="D130" s="46" t="s">
        <v>89</v>
      </c>
      <c r="E130" s="180" t="s">
        <v>89</v>
      </c>
      <c r="F130" s="175">
        <v>0.0215</v>
      </c>
      <c r="G130" s="176">
        <v>-0.0358</v>
      </c>
      <c r="H130" s="176">
        <v>0.0088</v>
      </c>
      <c r="I130" s="122"/>
      <c r="J130" s="122"/>
      <c r="K130" s="74"/>
      <c r="L130" s="75"/>
      <c r="M130" s="224"/>
      <c r="P130" s="225"/>
      <c r="Q130" s="209"/>
      <c r="R130" s="193"/>
      <c r="S130" s="193"/>
      <c r="T130" s="194"/>
      <c r="U130" s="195"/>
      <c r="V130" s="195"/>
      <c r="W130" s="196"/>
    </row>
    <row r="131" spans="1:23">
      <c r="A131" s="162">
        <v>45671</v>
      </c>
      <c r="B131" s="226" t="s">
        <v>200</v>
      </c>
      <c r="C131" s="226" t="s">
        <v>96</v>
      </c>
      <c r="D131" s="227">
        <v>0.0096</v>
      </c>
      <c r="E131" s="170" t="s">
        <v>92</v>
      </c>
      <c r="F131" s="171" t="s">
        <v>92</v>
      </c>
      <c r="G131" s="172" t="s">
        <v>201</v>
      </c>
      <c r="H131" s="176">
        <v>0.0424</v>
      </c>
      <c r="I131" s="35">
        <v>0.1</v>
      </c>
      <c r="J131" s="35">
        <f>(1+I131)*J129</f>
        <v>2.58231022463415</v>
      </c>
      <c r="K131" s="35"/>
      <c r="L131" s="30"/>
      <c r="M131" s="224"/>
      <c r="P131" s="225"/>
      <c r="Q131" s="199">
        <f ca="1">S131/R131</f>
        <v>0.0191082802547771</v>
      </c>
      <c r="R131" s="198">
        <f ca="1">VLOOKUP(INDIRECT("A"&amp;ROW()),收益表!$A$16:$U$10014,20,0)</f>
        <v>157</v>
      </c>
      <c r="S131" s="198">
        <f ca="1">VLOOKUP(INDIRECT("A"&amp;ROW()),收益表!$A$16:$U$10014,21,0)</f>
        <v>3</v>
      </c>
      <c r="T131" s="194"/>
      <c r="U131" s="195"/>
      <c r="V131" s="195"/>
      <c r="W131" s="196"/>
    </row>
    <row r="132" spans="1:23">
      <c r="A132" s="34">
        <v>45672</v>
      </c>
      <c r="B132" s="72"/>
      <c r="C132" s="72"/>
      <c r="D132" s="30"/>
      <c r="E132" s="164"/>
      <c r="F132" s="32"/>
      <c r="G132" s="33"/>
      <c r="H132" s="33"/>
      <c r="I132" s="33"/>
      <c r="J132" s="33"/>
      <c r="K132" s="33"/>
      <c r="L132" s="30"/>
      <c r="M132" s="224"/>
      <c r="P132" s="225"/>
      <c r="Q132" s="199">
        <f ca="1">S132/R132</f>
        <v>0.123456790123457</v>
      </c>
      <c r="R132" s="198">
        <f ca="1">VLOOKUP(INDIRECT("A"&amp;ROW()),收益表!$A$16:$U$10014,20,0)</f>
        <v>81</v>
      </c>
      <c r="S132" s="198">
        <f ca="1">VLOOKUP(INDIRECT("A"&amp;ROW()),收益表!$A$16:$U$10014,21,0)</f>
        <v>10</v>
      </c>
      <c r="T132" s="194"/>
      <c r="U132" s="195"/>
      <c r="V132" s="195"/>
      <c r="W132" s="196"/>
    </row>
    <row r="133" spans="1:23">
      <c r="A133" s="162">
        <v>45673</v>
      </c>
      <c r="B133" s="72" t="s">
        <v>202</v>
      </c>
      <c r="C133" s="72" t="s">
        <v>70</v>
      </c>
      <c r="D133" s="42">
        <v>-0.0608</v>
      </c>
      <c r="E133" s="174" t="s">
        <v>203</v>
      </c>
      <c r="F133" s="65" t="s">
        <v>89</v>
      </c>
      <c r="G133" s="176">
        <v>-0.0575</v>
      </c>
      <c r="H133" s="176">
        <v>-0.0129</v>
      </c>
      <c r="I133" s="35">
        <v>0.0492</v>
      </c>
      <c r="J133" s="35">
        <f>(1+I133)*J131</f>
        <v>2.70935988768615</v>
      </c>
      <c r="K133" s="35">
        <v>0.0492</v>
      </c>
      <c r="L133" s="42">
        <f>(1+K133)*L126</f>
        <v>3.57457164539634</v>
      </c>
      <c r="M133" s="224"/>
      <c r="P133" s="225"/>
      <c r="Q133" s="199">
        <f ca="1">S133/R133</f>
        <v>0.0833333333333333</v>
      </c>
      <c r="R133" s="198">
        <f ca="1">VLOOKUP(INDIRECT("A"&amp;ROW()),收益表!$A$16:$U$10014,20,0)</f>
        <v>84</v>
      </c>
      <c r="S133" s="198">
        <f ca="1">VLOOKUP(INDIRECT("A"&amp;ROW()),收益表!$A$16:$U$10014,21,0)</f>
        <v>7</v>
      </c>
      <c r="T133" s="194"/>
      <c r="U133" s="195"/>
      <c r="V133" s="195"/>
      <c r="W133" s="196"/>
    </row>
    <row r="134" spans="1:23">
      <c r="A134" s="215">
        <v>45674</v>
      </c>
      <c r="B134" s="72" t="s">
        <v>200</v>
      </c>
      <c r="C134" s="72" t="s">
        <v>98</v>
      </c>
      <c r="D134" s="42" t="s">
        <v>201</v>
      </c>
      <c r="E134" s="174">
        <v>0.0424</v>
      </c>
      <c r="F134" s="175">
        <v>0.0259</v>
      </c>
      <c r="G134" s="176">
        <v>0.0009</v>
      </c>
      <c r="H134" s="35" t="s">
        <v>92</v>
      </c>
      <c r="I134" s="61">
        <v>0.0424</v>
      </c>
      <c r="J134" s="61">
        <f>(1+I134)*J133</f>
        <v>2.82423674692405</v>
      </c>
      <c r="K134" s="61">
        <v>0.0424</v>
      </c>
      <c r="L134" s="62">
        <f>(1+K134)*L133</f>
        <v>3.72613348316114</v>
      </c>
      <c r="M134" s="224"/>
      <c r="P134" s="225"/>
      <c r="Q134" s="206">
        <f ca="1">S134/R134</f>
        <v>0.246153846153846</v>
      </c>
      <c r="R134" s="204">
        <f ca="1">VLOOKUP(INDIRECT("A"&amp;ROW()),收益表!$A$16:$U$10014,20,0)</f>
        <v>65</v>
      </c>
      <c r="S134" s="204">
        <f ca="1">VLOOKUP(INDIRECT("A"&amp;ROW()),收益表!$A$16:$U$10014,21,0)</f>
        <v>16</v>
      </c>
      <c r="T134" s="194"/>
      <c r="U134" s="195"/>
      <c r="V134" s="195"/>
      <c r="W134" s="196"/>
    </row>
    <row r="135" spans="1:23">
      <c r="A135" s="217"/>
      <c r="B135" s="165" t="s">
        <v>204</v>
      </c>
      <c r="C135" s="165" t="s">
        <v>70</v>
      </c>
      <c r="D135" s="166">
        <v>0.0173</v>
      </c>
      <c r="E135" s="167">
        <v>-0.0681</v>
      </c>
      <c r="F135" s="175">
        <v>-0.0078</v>
      </c>
      <c r="G135" s="176">
        <v>-0.0393</v>
      </c>
      <c r="H135" s="176">
        <v>0.0082</v>
      </c>
      <c r="I135" s="66"/>
      <c r="J135" s="66"/>
      <c r="K135" s="66"/>
      <c r="L135" s="67"/>
      <c r="M135" s="224"/>
      <c r="P135" s="225"/>
      <c r="Q135" s="209"/>
      <c r="R135" s="193"/>
      <c r="S135" s="193"/>
      <c r="T135" s="194"/>
      <c r="U135" s="195"/>
      <c r="V135" s="195"/>
      <c r="W135" s="196"/>
    </row>
    <row r="136" spans="1:23">
      <c r="A136" s="71">
        <v>45677</v>
      </c>
      <c r="B136" s="14"/>
      <c r="C136" s="163"/>
      <c r="D136" s="30"/>
      <c r="E136" s="164"/>
      <c r="F136" s="32"/>
      <c r="G136" s="33"/>
      <c r="H136" s="33"/>
      <c r="I136" s="33"/>
      <c r="J136" s="33"/>
      <c r="K136" s="33"/>
      <c r="L136" s="30"/>
      <c r="M136" s="224"/>
      <c r="P136" s="225"/>
      <c r="Q136" s="211">
        <f ca="1" t="shared" ref="Q136:Q141" si="10">S136/R136</f>
        <v>0.325</v>
      </c>
      <c r="R136" s="198">
        <f ca="1">VLOOKUP(INDIRECT("A"&amp;ROW()),收益表!$A$16:$U$10014,20,0)</f>
        <v>80</v>
      </c>
      <c r="S136" s="198">
        <f ca="1">VLOOKUP(INDIRECT("A"&amp;ROW()),收益表!$A$16:$U$10014,21,0)</f>
        <v>26</v>
      </c>
      <c r="T136" s="194"/>
      <c r="U136" s="195"/>
      <c r="V136" s="195"/>
      <c r="W136" s="196"/>
    </row>
    <row r="137" spans="1:23">
      <c r="A137" s="54">
        <v>45678</v>
      </c>
      <c r="B137" s="14"/>
      <c r="C137" s="163"/>
      <c r="D137" s="30"/>
      <c r="E137" s="164"/>
      <c r="F137" s="32"/>
      <c r="G137" s="33"/>
      <c r="H137" s="33"/>
      <c r="I137" s="33"/>
      <c r="J137" s="33"/>
      <c r="K137" s="33"/>
      <c r="L137" s="30"/>
      <c r="M137" s="224"/>
      <c r="P137" s="225"/>
      <c r="Q137" s="211">
        <f ca="1" t="shared" si="10"/>
        <v>0.519230769230769</v>
      </c>
      <c r="R137" s="198">
        <f ca="1">VLOOKUP(INDIRECT("A"&amp;ROW()),收益表!$A$16:$U$10014,20,0)</f>
        <v>52</v>
      </c>
      <c r="S137" s="198">
        <f ca="1">VLOOKUP(INDIRECT("A"&amp;ROW()),收益表!$A$16:$U$10014,21,0)</f>
        <v>27</v>
      </c>
      <c r="T137" s="194"/>
      <c r="U137" s="195"/>
      <c r="V137" s="195"/>
      <c r="W137" s="196"/>
    </row>
    <row r="138" spans="1:23">
      <c r="A138" s="71">
        <v>45679</v>
      </c>
      <c r="B138" s="14"/>
      <c r="C138" s="163"/>
      <c r="D138" s="30"/>
      <c r="E138" s="164"/>
      <c r="F138" s="32"/>
      <c r="G138" s="33"/>
      <c r="H138" s="33"/>
      <c r="I138" s="33"/>
      <c r="J138" s="33"/>
      <c r="K138" s="33"/>
      <c r="L138" s="30"/>
      <c r="M138" s="224"/>
      <c r="P138" s="225"/>
      <c r="Q138" s="211">
        <f ca="1" t="shared" si="10"/>
        <v>0.541666666666667</v>
      </c>
      <c r="R138" s="198">
        <f ca="1">VLOOKUP(INDIRECT("A"&amp;ROW()),收益表!$A$16:$U$10014,20,0)</f>
        <v>48</v>
      </c>
      <c r="S138" s="198">
        <f ca="1">VLOOKUP(INDIRECT("A"&amp;ROW()),收益表!$A$16:$U$10014,21,0)</f>
        <v>26</v>
      </c>
      <c r="T138" s="194"/>
      <c r="U138" s="195"/>
      <c r="V138" s="195"/>
      <c r="W138" s="196"/>
    </row>
    <row r="139" spans="1:23">
      <c r="A139" s="162">
        <v>45680</v>
      </c>
      <c r="B139" s="45" t="s">
        <v>205</v>
      </c>
      <c r="C139" s="45" t="s">
        <v>98</v>
      </c>
      <c r="D139" s="46">
        <v>-0.03</v>
      </c>
      <c r="E139" s="180" t="s">
        <v>89</v>
      </c>
      <c r="F139" s="175">
        <v>-0.0538</v>
      </c>
      <c r="G139" s="176">
        <v>-0.0023</v>
      </c>
      <c r="H139" s="176">
        <v>0.0171</v>
      </c>
      <c r="I139" s="101">
        <v>-0.1</v>
      </c>
      <c r="J139" s="101">
        <f>(1+I139)*J134</f>
        <v>2.54181307223164</v>
      </c>
      <c r="K139" s="33"/>
      <c r="L139" s="30"/>
      <c r="M139" s="224"/>
      <c r="P139" s="225"/>
      <c r="Q139" s="211">
        <f ca="1" t="shared" si="10"/>
        <v>0.630434782608696</v>
      </c>
      <c r="R139" s="198">
        <f ca="1">VLOOKUP(INDIRECT("A"&amp;ROW()),收益表!$A$16:$U$10014,20,0)</f>
        <v>46</v>
      </c>
      <c r="S139" s="198">
        <f ca="1">VLOOKUP(INDIRECT("A"&amp;ROW()),收益表!$A$16:$U$10014,21,0)</f>
        <v>29</v>
      </c>
      <c r="T139" s="194"/>
      <c r="U139" s="195"/>
      <c r="V139" s="195"/>
      <c r="W139" s="196"/>
    </row>
    <row r="140" spans="1:23">
      <c r="A140" s="71">
        <v>45681</v>
      </c>
      <c r="B140" s="14"/>
      <c r="C140" s="163"/>
      <c r="D140" s="30"/>
      <c r="E140" s="164"/>
      <c r="F140" s="175"/>
      <c r="G140" s="176"/>
      <c r="H140" s="176"/>
      <c r="I140" s="33"/>
      <c r="J140" s="33"/>
      <c r="K140" s="33"/>
      <c r="L140" s="30"/>
      <c r="M140" s="224"/>
      <c r="P140" s="225"/>
      <c r="Q140" s="211">
        <f ca="1" t="shared" si="10"/>
        <v>0.391891891891892</v>
      </c>
      <c r="R140" s="198">
        <f ca="1">VLOOKUP(INDIRECT("A"&amp;ROW()),收益表!$A$16:$U$10014,20,0)</f>
        <v>74</v>
      </c>
      <c r="S140" s="198">
        <f ca="1">VLOOKUP(INDIRECT("A"&amp;ROW()),收益表!$A$16:$U$10014,21,0)</f>
        <v>29</v>
      </c>
      <c r="T140" s="194"/>
      <c r="U140" s="195"/>
      <c r="V140" s="195"/>
      <c r="W140" s="196"/>
    </row>
    <row r="141" ht="16.25" spans="1:23">
      <c r="A141" s="162">
        <v>45684</v>
      </c>
      <c r="B141" s="228" t="s">
        <v>206</v>
      </c>
      <c r="C141" s="228" t="s">
        <v>98</v>
      </c>
      <c r="D141" s="229" t="s">
        <v>89</v>
      </c>
      <c r="E141" s="230" t="s">
        <v>89</v>
      </c>
      <c r="F141" s="175">
        <v>0.0271</v>
      </c>
      <c r="G141" s="176">
        <v>0.0275</v>
      </c>
      <c r="H141" s="176">
        <v>0.0154</v>
      </c>
      <c r="I141" s="101">
        <v>-0.1</v>
      </c>
      <c r="J141" s="101">
        <f>(1+I141)*J139</f>
        <v>2.28763176500848</v>
      </c>
      <c r="K141" s="33"/>
      <c r="L141" s="30"/>
      <c r="M141" s="224"/>
      <c r="N141" s="7"/>
      <c r="O141" s="7"/>
      <c r="P141" s="225"/>
      <c r="Q141" s="211">
        <f ca="1" t="shared" si="10"/>
        <v>1.06666666666667</v>
      </c>
      <c r="R141" s="198">
        <f ca="1">VLOOKUP(INDIRECT("A"&amp;ROW()),收益表!$A$16:$U$10014,20,0)</f>
        <v>45</v>
      </c>
      <c r="S141" s="198">
        <f ca="1">VLOOKUP(INDIRECT("A"&amp;ROW()),收益表!$A$16:$U$10014,21,0)</f>
        <v>48</v>
      </c>
      <c r="T141" s="194"/>
      <c r="U141" s="195"/>
      <c r="V141" s="195"/>
      <c r="W141" s="196"/>
    </row>
    <row r="142" ht="16.25" spans="1:23">
      <c r="A142" s="76">
        <v>45693</v>
      </c>
      <c r="B142" s="68"/>
      <c r="C142" s="68"/>
      <c r="D142" s="69"/>
      <c r="E142" s="164"/>
      <c r="F142" s="32"/>
      <c r="G142" s="33"/>
      <c r="H142" s="33"/>
      <c r="I142" s="33"/>
      <c r="J142" s="33"/>
      <c r="K142" s="33"/>
      <c r="L142" s="30"/>
      <c r="M142" s="243" t="s">
        <v>207</v>
      </c>
      <c r="N142" s="244"/>
      <c r="O142" s="244"/>
      <c r="P142" s="245"/>
      <c r="Q142" s="211">
        <f ca="1" t="shared" ref="Q142:Q147" si="11">S142/R142</f>
        <v>0.542168674698795</v>
      </c>
      <c r="R142" s="198">
        <f ca="1">VLOOKUP(INDIRECT("A"&amp;ROW()),收益表!$A$16:$U$10014,20,0)</f>
        <v>83</v>
      </c>
      <c r="S142" s="198">
        <f ca="1">VLOOKUP(INDIRECT("A"&amp;ROW()),收益表!$A$16:$U$10014,21,0)</f>
        <v>45</v>
      </c>
      <c r="T142" s="256"/>
      <c r="U142" s="257"/>
      <c r="V142" s="257"/>
      <c r="W142" s="258"/>
    </row>
    <row r="143" spans="1:23">
      <c r="A143" s="76">
        <v>45694</v>
      </c>
      <c r="B143" s="68"/>
      <c r="C143" s="68"/>
      <c r="D143" s="69"/>
      <c r="E143" s="164"/>
      <c r="F143" s="32"/>
      <c r="G143" s="33"/>
      <c r="H143" s="33"/>
      <c r="I143" s="33"/>
      <c r="J143" s="33"/>
      <c r="K143" s="33"/>
      <c r="L143" s="30"/>
      <c r="M143" s="246"/>
      <c r="P143" s="247"/>
      <c r="Q143" s="199">
        <f ca="1" t="shared" si="11"/>
        <v>0.0396039603960396</v>
      </c>
      <c r="R143" s="198">
        <f ca="1">VLOOKUP(INDIRECT("A"&amp;ROW()),收益表!$A$16:$U$10014,20,0)</f>
        <v>101</v>
      </c>
      <c r="S143" s="198">
        <f ca="1">VLOOKUP(INDIRECT("A"&amp;ROW()),收益表!$A$16:$U$10014,21,0)</f>
        <v>4</v>
      </c>
      <c r="T143" s="256"/>
      <c r="U143" s="257"/>
      <c r="V143" s="257"/>
      <c r="W143" s="258"/>
    </row>
    <row r="144" spans="1:23">
      <c r="A144" s="106">
        <v>45695</v>
      </c>
      <c r="B144" s="72" t="s">
        <v>208</v>
      </c>
      <c r="C144" s="72" t="s">
        <v>98</v>
      </c>
      <c r="D144" s="42" t="s">
        <v>209</v>
      </c>
      <c r="E144" s="174">
        <v>0.0279</v>
      </c>
      <c r="F144" s="175">
        <v>0.0208</v>
      </c>
      <c r="G144" s="176" t="s">
        <v>210</v>
      </c>
      <c r="H144" s="176">
        <v>0.0196</v>
      </c>
      <c r="I144" s="35">
        <v>0.0279</v>
      </c>
      <c r="J144" s="35">
        <f>(1+I144)*J141</f>
        <v>2.35145669125222</v>
      </c>
      <c r="K144" s="35">
        <v>0.0279</v>
      </c>
      <c r="L144" s="42">
        <f>(1+K144)*L134</f>
        <v>3.83009260734134</v>
      </c>
      <c r="M144" s="246"/>
      <c r="P144" s="247"/>
      <c r="Q144" s="203">
        <f ca="1" t="shared" si="11"/>
        <v>0.021505376344086</v>
      </c>
      <c r="R144" s="204">
        <f ca="1">VLOOKUP(INDIRECT("A"&amp;ROW()),收益表!$A$16:$U$10014,20,0)</f>
        <v>93</v>
      </c>
      <c r="S144" s="204">
        <f ca="1">VLOOKUP(INDIRECT("A"&amp;ROW()),收益表!$A$16:$U$10014,21,0)</f>
        <v>2</v>
      </c>
      <c r="T144" s="256" t="s">
        <v>211</v>
      </c>
      <c r="U144" s="257"/>
      <c r="V144" s="257"/>
      <c r="W144" s="258"/>
    </row>
    <row r="145" spans="1:23">
      <c r="A145" s="119"/>
      <c r="B145" s="231" t="s">
        <v>212</v>
      </c>
      <c r="C145" s="231" t="s">
        <v>86</v>
      </c>
      <c r="D145" s="232">
        <v>0.0339</v>
      </c>
      <c r="E145" s="233" t="s">
        <v>92</v>
      </c>
      <c r="F145" s="175">
        <v>-0.0136</v>
      </c>
      <c r="G145" s="176">
        <v>-0.0497</v>
      </c>
      <c r="H145" s="176">
        <v>0.0268</v>
      </c>
      <c r="I145" s="35"/>
      <c r="J145" s="35"/>
      <c r="K145" s="35"/>
      <c r="L145" s="42"/>
      <c r="M145" s="246"/>
      <c r="P145" s="247"/>
      <c r="Q145" s="205"/>
      <c r="R145" s="193"/>
      <c r="S145" s="193"/>
      <c r="T145" s="256" t="s">
        <v>211</v>
      </c>
      <c r="U145" s="257"/>
      <c r="V145" s="257"/>
      <c r="W145" s="258"/>
    </row>
    <row r="146" spans="1:23">
      <c r="A146" s="76">
        <v>45698</v>
      </c>
      <c r="B146" s="68"/>
      <c r="C146" s="68"/>
      <c r="D146" s="69"/>
      <c r="E146" s="164"/>
      <c r="F146" s="175"/>
      <c r="G146" s="176"/>
      <c r="H146" s="176"/>
      <c r="I146" s="33"/>
      <c r="J146" s="33"/>
      <c r="K146" s="33"/>
      <c r="L146" s="30"/>
      <c r="M146" s="246"/>
      <c r="P146" s="247"/>
      <c r="Q146" s="199">
        <f ca="1" t="shared" si="11"/>
        <v>0.0142857142857143</v>
      </c>
      <c r="R146" s="198">
        <f ca="1">VLOOKUP(INDIRECT("A"&amp;ROW()),收益表!$A$16:$U$10014,20,0)</f>
        <v>140</v>
      </c>
      <c r="S146" s="198">
        <f ca="1">VLOOKUP(INDIRECT("A"&amp;ROW()),收益表!$A$16:$U$10014,21,0)</f>
        <v>2</v>
      </c>
      <c r="T146" s="259"/>
      <c r="U146" s="260"/>
      <c r="V146" s="260"/>
      <c r="W146" s="261"/>
    </row>
    <row r="147" spans="1:23">
      <c r="A147" s="78">
        <v>45699</v>
      </c>
      <c r="B147" s="68" t="s">
        <v>213</v>
      </c>
      <c r="C147" s="68" t="s">
        <v>98</v>
      </c>
      <c r="D147" s="69">
        <v>0.0259</v>
      </c>
      <c r="E147" s="177">
        <v>-0.0225</v>
      </c>
      <c r="F147" s="175">
        <v>0.0374</v>
      </c>
      <c r="G147" s="176">
        <v>-0.046</v>
      </c>
      <c r="H147" s="176">
        <v>0.0618</v>
      </c>
      <c r="I147" s="101">
        <v>-0.0225</v>
      </c>
      <c r="J147" s="101">
        <f>(1+I147)*J144</f>
        <v>2.29854891569905</v>
      </c>
      <c r="K147" s="101">
        <v>-0.0225</v>
      </c>
      <c r="L147" s="69">
        <f>(1+K147)*L144</f>
        <v>3.74391552367616</v>
      </c>
      <c r="M147" s="246"/>
      <c r="P147" s="247"/>
      <c r="Q147" s="199">
        <f ca="1" t="shared" si="11"/>
        <v>0.0238095238095238</v>
      </c>
      <c r="R147" s="198">
        <f ca="1">VLOOKUP(INDIRECT("A"&amp;ROW()),收益表!$A$16:$U$10014,20,0)</f>
        <v>84</v>
      </c>
      <c r="S147" s="198">
        <f ca="1">VLOOKUP(INDIRECT("A"&amp;ROW()),收益表!$A$16:$U$10014,21,0)</f>
        <v>2</v>
      </c>
      <c r="T147" s="262" t="s">
        <v>214</v>
      </c>
      <c r="U147" s="263"/>
      <c r="V147" s="263"/>
      <c r="W147" s="264"/>
    </row>
    <row r="148" spans="1:23">
      <c r="A148" s="76">
        <v>45700</v>
      </c>
      <c r="B148" s="68"/>
      <c r="C148" s="68"/>
      <c r="D148" s="69"/>
      <c r="E148" s="164"/>
      <c r="F148" s="32"/>
      <c r="G148" s="33"/>
      <c r="H148" s="33"/>
      <c r="I148" s="33"/>
      <c r="J148" s="33"/>
      <c r="K148" s="33"/>
      <c r="L148" s="30"/>
      <c r="M148" s="246"/>
      <c r="P148" s="247"/>
      <c r="Q148" s="199">
        <f ca="1" t="shared" ref="Q148:Q153" si="12">S148/R148</f>
        <v>0.0210526315789474</v>
      </c>
      <c r="R148" s="198">
        <f ca="1">VLOOKUP(INDIRECT("A"&amp;ROW()),收益表!$A$16:$U$10014,20,0)</f>
        <v>95</v>
      </c>
      <c r="S148" s="198">
        <f ca="1">VLOOKUP(INDIRECT("A"&amp;ROW()),收益表!$A$16:$U$10014,21,0)</f>
        <v>2</v>
      </c>
      <c r="T148" s="259"/>
      <c r="U148" s="260"/>
      <c r="V148" s="260"/>
      <c r="W148" s="261"/>
    </row>
    <row r="149" spans="1:23">
      <c r="A149" s="76">
        <v>45701</v>
      </c>
      <c r="B149" s="68"/>
      <c r="C149" s="68"/>
      <c r="D149" s="69"/>
      <c r="E149" s="164"/>
      <c r="F149" s="32"/>
      <c r="G149" s="33"/>
      <c r="H149" s="33"/>
      <c r="I149" s="33"/>
      <c r="J149" s="33"/>
      <c r="K149" s="33"/>
      <c r="L149" s="30"/>
      <c r="M149" s="246"/>
      <c r="P149" s="247"/>
      <c r="Q149" s="199">
        <f ca="1" t="shared" si="12"/>
        <v>0.0945945945945946</v>
      </c>
      <c r="R149" s="198">
        <f ca="1">VLOOKUP(INDIRECT("A"&amp;ROW()),收益表!$A$16:$U$10014,20,0)</f>
        <v>74</v>
      </c>
      <c r="S149" s="198">
        <f ca="1">VLOOKUP(INDIRECT("A"&amp;ROW()),收益表!$A$16:$U$10014,21,0)</f>
        <v>7</v>
      </c>
      <c r="T149" s="259"/>
      <c r="U149" s="260"/>
      <c r="V149" s="260"/>
      <c r="W149" s="261"/>
    </row>
    <row r="150" ht="16.25" spans="1:23">
      <c r="A150" s="76">
        <v>45702</v>
      </c>
      <c r="B150" s="68"/>
      <c r="C150" s="68"/>
      <c r="D150" s="69"/>
      <c r="E150" s="164"/>
      <c r="F150" s="234"/>
      <c r="G150" s="216"/>
      <c r="H150" s="33"/>
      <c r="I150" s="33"/>
      <c r="J150" s="33"/>
      <c r="K150" s="33"/>
      <c r="L150" s="30"/>
      <c r="M150" s="246"/>
      <c r="N150" s="7"/>
      <c r="O150" s="7"/>
      <c r="P150" s="247"/>
      <c r="Q150" s="199">
        <f ca="1" t="shared" si="12"/>
        <v>0.103448275862069</v>
      </c>
      <c r="R150" s="198">
        <f ca="1">VLOOKUP(INDIRECT("A"&amp;ROW()),收益表!$A$16:$U$10014,20,0)</f>
        <v>87</v>
      </c>
      <c r="S150" s="198">
        <f ca="1">VLOOKUP(INDIRECT("A"&amp;ROW()),收益表!$A$16:$U$10014,21,0)</f>
        <v>9</v>
      </c>
      <c r="T150" s="259"/>
      <c r="U150" s="260"/>
      <c r="V150" s="260"/>
      <c r="W150" s="261"/>
    </row>
    <row r="151" ht="16.25" spans="1:23">
      <c r="A151" s="76">
        <v>45705</v>
      </c>
      <c r="B151" s="68"/>
      <c r="C151" s="68"/>
      <c r="D151" s="69"/>
      <c r="E151" s="164"/>
      <c r="F151" s="234"/>
      <c r="G151" s="216"/>
      <c r="H151" s="33"/>
      <c r="I151" s="33"/>
      <c r="J151" s="33"/>
      <c r="K151" s="33"/>
      <c r="L151" s="30"/>
      <c r="M151" s="243" t="s">
        <v>215</v>
      </c>
      <c r="N151" s="244"/>
      <c r="O151" s="244"/>
      <c r="P151" s="245"/>
      <c r="Q151" s="199">
        <f ca="1" t="shared" si="12"/>
        <v>0.0614035087719298</v>
      </c>
      <c r="R151" s="198">
        <f ca="1">VLOOKUP(INDIRECT("A"&amp;ROW()),收益表!$A$16:$U$10014,20,0)</f>
        <v>114</v>
      </c>
      <c r="S151" s="198">
        <f ca="1">VLOOKUP(INDIRECT("A"&amp;ROW()),收益表!$A$16:$U$10014,21,0)</f>
        <v>7</v>
      </c>
      <c r="T151" s="259"/>
      <c r="U151" s="260"/>
      <c r="V151" s="260"/>
      <c r="W151" s="261"/>
    </row>
    <row r="152" spans="1:23">
      <c r="A152" s="78">
        <v>45706</v>
      </c>
      <c r="B152" s="165" t="s">
        <v>216</v>
      </c>
      <c r="C152" s="165" t="s">
        <v>88</v>
      </c>
      <c r="D152" s="235">
        <v>0.0061</v>
      </c>
      <c r="E152" s="167" t="s">
        <v>89</v>
      </c>
      <c r="F152" s="234">
        <v>0.0184</v>
      </c>
      <c r="G152" s="216">
        <v>-0.0632</v>
      </c>
      <c r="H152" s="176">
        <v>0.007</v>
      </c>
      <c r="I152" s="33"/>
      <c r="J152" s="33"/>
      <c r="K152" s="33"/>
      <c r="L152" s="30"/>
      <c r="M152" s="246"/>
      <c r="P152" s="247"/>
      <c r="Q152" s="211">
        <f ca="1" t="shared" si="12"/>
        <v>0.39622641509434</v>
      </c>
      <c r="R152" s="198">
        <f ca="1">VLOOKUP(INDIRECT("A"&amp;ROW()),收益表!$A$16:$U$10014,20,0)</f>
        <v>53</v>
      </c>
      <c r="S152" s="198">
        <f ca="1">VLOOKUP(INDIRECT("A"&amp;ROW()),收益表!$A$16:$U$10014,21,0)</f>
        <v>21</v>
      </c>
      <c r="T152" s="265" t="s">
        <v>217</v>
      </c>
      <c r="U152" s="266"/>
      <c r="V152" s="266"/>
      <c r="W152" s="267"/>
    </row>
    <row r="153" spans="1:23">
      <c r="A153" s="102">
        <v>45707</v>
      </c>
      <c r="B153" s="68" t="s">
        <v>218</v>
      </c>
      <c r="C153" s="68" t="s">
        <v>98</v>
      </c>
      <c r="D153" s="236">
        <v>-0.0084</v>
      </c>
      <c r="E153" s="177">
        <v>-0.0028</v>
      </c>
      <c r="F153" s="234">
        <v>0.0622</v>
      </c>
      <c r="G153" s="216">
        <v>-0.0346</v>
      </c>
      <c r="H153" s="216">
        <v>-0.0703</v>
      </c>
      <c r="I153" s="61">
        <f>AVERAGE(E153:E156)</f>
        <v>0.01835</v>
      </c>
      <c r="J153" s="61">
        <f>(1+I153)*J147</f>
        <v>2.34072728830213</v>
      </c>
      <c r="K153" s="52"/>
      <c r="L153" s="53"/>
      <c r="M153" s="246"/>
      <c r="P153" s="247"/>
      <c r="Q153" s="203">
        <f ca="1" t="shared" si="12"/>
        <v>0.0333333333333333</v>
      </c>
      <c r="R153" s="204">
        <f ca="1">VLOOKUP(INDIRECT("A"&amp;ROW()),收益表!$A$16:$U$10014,20,0)</f>
        <v>120</v>
      </c>
      <c r="S153" s="204">
        <f ca="1">VLOOKUP(INDIRECT("A"&amp;ROW()),收益表!$A$16:$U$10014,21,0)</f>
        <v>4</v>
      </c>
      <c r="T153" s="259"/>
      <c r="U153" s="260"/>
      <c r="V153" s="260"/>
      <c r="W153" s="261"/>
    </row>
    <row r="154" spans="1:23">
      <c r="A154" s="103"/>
      <c r="B154" s="72" t="s">
        <v>219</v>
      </c>
      <c r="C154" s="72" t="s">
        <v>98</v>
      </c>
      <c r="D154" s="237">
        <v>-0.056</v>
      </c>
      <c r="E154" s="174">
        <v>0.0441</v>
      </c>
      <c r="F154" s="234">
        <v>-0.0189</v>
      </c>
      <c r="G154" s="216">
        <v>-0.0089</v>
      </c>
      <c r="H154" s="216">
        <v>-0.0195</v>
      </c>
      <c r="I154" s="63"/>
      <c r="J154" s="63"/>
      <c r="K154" s="248"/>
      <c r="L154" s="249"/>
      <c r="M154" s="246"/>
      <c r="P154" s="247"/>
      <c r="Q154" s="210"/>
      <c r="R154" s="208"/>
      <c r="S154" s="208"/>
      <c r="T154" s="259"/>
      <c r="U154" s="260"/>
      <c r="V154" s="260"/>
      <c r="W154" s="261"/>
    </row>
    <row r="155" spans="1:23">
      <c r="A155" s="103"/>
      <c r="B155" s="68" t="s">
        <v>220</v>
      </c>
      <c r="C155" s="68" t="s">
        <v>98</v>
      </c>
      <c r="D155" s="236">
        <v>0.0366</v>
      </c>
      <c r="E155" s="177">
        <v>-0.0307</v>
      </c>
      <c r="F155" s="234">
        <v>0.0336</v>
      </c>
      <c r="G155" s="216">
        <v>-0.028</v>
      </c>
      <c r="H155" s="216">
        <v>-0.0446</v>
      </c>
      <c r="I155" s="63"/>
      <c r="J155" s="63"/>
      <c r="K155" s="248"/>
      <c r="L155" s="249"/>
      <c r="M155" s="246"/>
      <c r="P155" s="247"/>
      <c r="Q155" s="210"/>
      <c r="R155" s="208"/>
      <c r="S155" s="208"/>
      <c r="T155" s="259"/>
      <c r="U155" s="260"/>
      <c r="V155" s="260"/>
      <c r="W155" s="261"/>
    </row>
    <row r="156" spans="1:23">
      <c r="A156" s="105"/>
      <c r="B156" s="72" t="s">
        <v>221</v>
      </c>
      <c r="C156" s="72" t="s">
        <v>98</v>
      </c>
      <c r="D156" s="42">
        <v>-0.0212</v>
      </c>
      <c r="E156" s="174">
        <v>0.0628</v>
      </c>
      <c r="F156" s="234">
        <v>-0.0131</v>
      </c>
      <c r="G156" s="35" t="s">
        <v>92</v>
      </c>
      <c r="H156" s="35" t="s">
        <v>92</v>
      </c>
      <c r="I156" s="66"/>
      <c r="J156" s="66"/>
      <c r="K156" s="74"/>
      <c r="L156" s="75"/>
      <c r="M156" s="246"/>
      <c r="P156" s="247"/>
      <c r="Q156" s="205"/>
      <c r="R156" s="193"/>
      <c r="S156" s="193"/>
      <c r="T156" s="259"/>
      <c r="U156" s="260"/>
      <c r="V156" s="260"/>
      <c r="W156" s="261"/>
    </row>
    <row r="157" spans="1:23">
      <c r="A157" s="103">
        <v>45708</v>
      </c>
      <c r="B157" s="38" t="s">
        <v>222</v>
      </c>
      <c r="C157" s="38" t="s">
        <v>98</v>
      </c>
      <c r="D157" s="39">
        <v>0.0205</v>
      </c>
      <c r="E157" s="178" t="s">
        <v>92</v>
      </c>
      <c r="F157" s="234">
        <v>-0.0639</v>
      </c>
      <c r="G157" s="35" t="s">
        <v>92</v>
      </c>
      <c r="H157" s="35" t="s">
        <v>92</v>
      </c>
      <c r="I157" s="61">
        <v>0.0178</v>
      </c>
      <c r="J157" s="61">
        <f>(1+I157)*J153</f>
        <v>2.38239223403391</v>
      </c>
      <c r="K157" s="61">
        <v>0.0178</v>
      </c>
      <c r="L157" s="62">
        <f>(1+K157)*L147</f>
        <v>3.8105572199976</v>
      </c>
      <c r="M157" s="246"/>
      <c r="P157" s="247"/>
      <c r="Q157" s="203">
        <f ca="1">S157/R157</f>
        <v>0.00934579439252336</v>
      </c>
      <c r="R157" s="204">
        <f ca="1">VLOOKUP(INDIRECT("A"&amp;ROW()),收益表!$A$16:$U$10014,20,0)</f>
        <v>107</v>
      </c>
      <c r="S157" s="204">
        <f ca="1">VLOOKUP(INDIRECT("A"&amp;ROW()),收益表!$A$16:$U$10014,21,0)</f>
        <v>1</v>
      </c>
      <c r="T157" s="259"/>
      <c r="U157" s="260"/>
      <c r="V157" s="260"/>
      <c r="W157" s="261"/>
    </row>
    <row r="158" spans="1:23">
      <c r="A158" s="103"/>
      <c r="B158" s="68" t="s">
        <v>223</v>
      </c>
      <c r="C158" s="68" t="s">
        <v>98</v>
      </c>
      <c r="D158" s="69">
        <v>-0.0352</v>
      </c>
      <c r="E158" s="177">
        <v>-0.0602</v>
      </c>
      <c r="F158" s="234">
        <v>-0.0187</v>
      </c>
      <c r="G158" s="216">
        <v>-0.0245</v>
      </c>
      <c r="H158" s="216">
        <v>-0.0139</v>
      </c>
      <c r="I158" s="66"/>
      <c r="J158" s="66"/>
      <c r="K158" s="66"/>
      <c r="L158" s="67"/>
      <c r="M158" s="246"/>
      <c r="P158" s="247"/>
      <c r="Q158" s="205"/>
      <c r="R158" s="193"/>
      <c r="S158" s="193"/>
      <c r="T158" s="259"/>
      <c r="U158" s="260"/>
      <c r="V158" s="260"/>
      <c r="W158" s="261"/>
    </row>
    <row r="159" spans="1:23">
      <c r="A159" s="115">
        <v>45709</v>
      </c>
      <c r="B159" s="68"/>
      <c r="C159" s="68"/>
      <c r="D159" s="69"/>
      <c r="E159" s="164"/>
      <c r="F159" s="234"/>
      <c r="G159" s="216"/>
      <c r="H159" s="216"/>
      <c r="I159" s="33"/>
      <c r="J159" s="33"/>
      <c r="K159" s="33"/>
      <c r="L159" s="30"/>
      <c r="M159" s="246"/>
      <c r="P159" s="247"/>
      <c r="Q159" s="199">
        <f ca="1">S159/R159</f>
        <v>0.0336134453781513</v>
      </c>
      <c r="R159" s="198">
        <f ca="1">VLOOKUP(INDIRECT("A"&amp;ROW()),收益表!$A$16:$U$10014,20,0)</f>
        <v>119</v>
      </c>
      <c r="S159" s="198">
        <f ca="1">VLOOKUP(INDIRECT("A"&amp;ROW()),收益表!$A$16:$U$10014,21,0)</f>
        <v>4</v>
      </c>
      <c r="T159" s="259"/>
      <c r="U159" s="260"/>
      <c r="V159" s="260"/>
      <c r="W159" s="261"/>
    </row>
    <row r="160" spans="1:23">
      <c r="A160" s="102">
        <v>45712</v>
      </c>
      <c r="B160" s="72" t="s">
        <v>224</v>
      </c>
      <c r="C160" s="72" t="s">
        <v>98</v>
      </c>
      <c r="D160" s="42">
        <v>0.0833</v>
      </c>
      <c r="E160" s="174">
        <v>0.0314</v>
      </c>
      <c r="F160" s="234">
        <v>-0.0659</v>
      </c>
      <c r="G160" s="216">
        <v>0.007</v>
      </c>
      <c r="H160" s="216">
        <v>-0.0462</v>
      </c>
      <c r="I160" s="35">
        <v>0.0314</v>
      </c>
      <c r="J160" s="35">
        <f>(1+I160)*J157</f>
        <v>2.45719935018257</v>
      </c>
      <c r="K160" s="35">
        <v>0.0314</v>
      </c>
      <c r="L160" s="42">
        <f>(1+K160)*L157</f>
        <v>3.93020871670552</v>
      </c>
      <c r="M160" s="246"/>
      <c r="P160" s="247"/>
      <c r="Q160" s="203">
        <f ca="1" t="shared" ref="Q160:Q165" si="13">S160/R160</f>
        <v>0.197802197802198</v>
      </c>
      <c r="R160" s="204">
        <f ca="1">VLOOKUP(INDIRECT("A"&amp;ROW()),收益表!$A$16:$U$10014,20,0)</f>
        <v>91</v>
      </c>
      <c r="S160" s="204">
        <f ca="1">VLOOKUP(INDIRECT("A"&amp;ROW()),收益表!$A$16:$U$10014,21,0)</f>
        <v>18</v>
      </c>
      <c r="T160" s="259"/>
      <c r="U160" s="260"/>
      <c r="V160" s="260"/>
      <c r="W160" s="261"/>
    </row>
    <row r="161" spans="1:23">
      <c r="A161" s="105"/>
      <c r="B161" s="238" t="s">
        <v>225</v>
      </c>
      <c r="C161" s="165" t="s">
        <v>88</v>
      </c>
      <c r="D161" s="166">
        <v>0.0942</v>
      </c>
      <c r="E161" s="167" t="s">
        <v>89</v>
      </c>
      <c r="F161" s="175">
        <v>-0.0756</v>
      </c>
      <c r="G161" s="176">
        <v>0.0108</v>
      </c>
      <c r="H161" s="239">
        <v>-6.39</v>
      </c>
      <c r="I161" s="35"/>
      <c r="J161" s="35"/>
      <c r="K161" s="35"/>
      <c r="L161" s="42"/>
      <c r="M161" s="246"/>
      <c r="P161" s="247"/>
      <c r="Q161" s="205"/>
      <c r="R161" s="193"/>
      <c r="S161" s="193"/>
      <c r="T161" s="259"/>
      <c r="U161" s="260"/>
      <c r="V161" s="260"/>
      <c r="W161" s="261"/>
    </row>
    <row r="162" spans="1:23">
      <c r="A162" s="76">
        <v>45713</v>
      </c>
      <c r="B162" s="68"/>
      <c r="C162" s="68"/>
      <c r="D162" s="69"/>
      <c r="E162" s="164"/>
      <c r="F162" s="32"/>
      <c r="G162" s="33"/>
      <c r="H162" s="33"/>
      <c r="I162" s="33"/>
      <c r="J162" s="33"/>
      <c r="K162" s="33"/>
      <c r="L162" s="30"/>
      <c r="M162" s="246"/>
      <c r="P162" s="247"/>
      <c r="Q162" s="199">
        <f ca="1" t="shared" si="13"/>
        <v>0.107692307692308</v>
      </c>
      <c r="R162" s="198">
        <f ca="1">VLOOKUP(INDIRECT("A"&amp;ROW()),收益表!$A$16:$U$10014,20,0)</f>
        <v>65</v>
      </c>
      <c r="S162" s="198">
        <f ca="1">VLOOKUP(INDIRECT("A"&amp;ROW()),收益表!$A$16:$U$10014,21,0)</f>
        <v>7</v>
      </c>
      <c r="T162" s="259"/>
      <c r="U162" s="260"/>
      <c r="V162" s="260"/>
      <c r="W162" s="261"/>
    </row>
    <row r="163" spans="1:23">
      <c r="A163" s="102">
        <v>45714</v>
      </c>
      <c r="B163" s="68" t="s">
        <v>226</v>
      </c>
      <c r="C163" s="68" t="s">
        <v>98</v>
      </c>
      <c r="D163" s="69">
        <v>0.0782</v>
      </c>
      <c r="E163" s="177">
        <v>-0.0448</v>
      </c>
      <c r="F163" s="175">
        <v>-0.0916</v>
      </c>
      <c r="G163" s="101" t="s">
        <v>89</v>
      </c>
      <c r="H163" s="176">
        <v>-0.0276</v>
      </c>
      <c r="I163" s="121">
        <v>-0.0218</v>
      </c>
      <c r="J163" s="121">
        <f>(1+I163)*J160</f>
        <v>2.40363240434859</v>
      </c>
      <c r="K163" s="121">
        <v>-0.0218</v>
      </c>
      <c r="L163" s="250">
        <f>(1+K163)*L160</f>
        <v>3.84453016668134</v>
      </c>
      <c r="M163" s="246"/>
      <c r="P163" s="247"/>
      <c r="Q163" s="203">
        <f ca="1" t="shared" si="13"/>
        <v>0.0277777777777778</v>
      </c>
      <c r="R163" s="204">
        <f ca="1">VLOOKUP(INDIRECT("A"&amp;ROW()),收益表!$A$16:$U$10014,20,0)</f>
        <v>108</v>
      </c>
      <c r="S163" s="204">
        <f ca="1">VLOOKUP(INDIRECT("A"&amp;ROW()),收益表!$A$16:$U$10014,21,0)</f>
        <v>3</v>
      </c>
      <c r="T163" s="259"/>
      <c r="U163" s="260"/>
      <c r="V163" s="260"/>
      <c r="W163" s="261"/>
    </row>
    <row r="164" spans="1:23">
      <c r="A164" s="105"/>
      <c r="B164" s="72" t="s">
        <v>227</v>
      </c>
      <c r="C164" s="72" t="s">
        <v>98</v>
      </c>
      <c r="D164" s="42">
        <v>-0.0659</v>
      </c>
      <c r="E164" s="174">
        <v>0.0013</v>
      </c>
      <c r="F164" s="175">
        <v>-0.0615</v>
      </c>
      <c r="G164" s="176">
        <v>-0.0559</v>
      </c>
      <c r="H164" s="176">
        <v>-0.0173</v>
      </c>
      <c r="I164" s="122"/>
      <c r="J164" s="122"/>
      <c r="K164" s="122"/>
      <c r="L164" s="251"/>
      <c r="M164" s="246"/>
      <c r="P164" s="247"/>
      <c r="Q164" s="205"/>
      <c r="R164" s="193"/>
      <c r="S164" s="193"/>
      <c r="T164" s="259"/>
      <c r="U164" s="260"/>
      <c r="V164" s="260"/>
      <c r="W164" s="261"/>
    </row>
    <row r="165" spans="1:23">
      <c r="A165" s="78">
        <v>45715</v>
      </c>
      <c r="B165" s="68" t="s">
        <v>228</v>
      </c>
      <c r="C165" s="68" t="s">
        <v>91</v>
      </c>
      <c r="D165" s="69">
        <v>0.0682</v>
      </c>
      <c r="E165" s="177">
        <v>-0.0877</v>
      </c>
      <c r="F165" s="175">
        <v>-0.0135</v>
      </c>
      <c r="G165" s="176">
        <v>-0.0128</v>
      </c>
      <c r="H165" s="176">
        <v>0.0026</v>
      </c>
      <c r="I165" s="101">
        <v>-0.0877</v>
      </c>
      <c r="J165" s="101">
        <f>(1+I165)*J163</f>
        <v>2.19283384248722</v>
      </c>
      <c r="K165" s="101">
        <v>-0.0877</v>
      </c>
      <c r="L165" s="69">
        <f>(1+K165)*L163</f>
        <v>3.50736487106339</v>
      </c>
      <c r="M165" s="246"/>
      <c r="P165" s="247"/>
      <c r="Q165" s="199">
        <f ca="1" t="shared" si="13"/>
        <v>0.133333333333333</v>
      </c>
      <c r="R165" s="198">
        <f ca="1">VLOOKUP(INDIRECT("A"&amp;ROW()),收益表!$A$16:$U$10014,20,0)</f>
        <v>90</v>
      </c>
      <c r="S165" s="198">
        <f ca="1">VLOOKUP(INDIRECT("A"&amp;ROW()),收益表!$A$16:$U$10014,21,0)</f>
        <v>12</v>
      </c>
      <c r="T165" s="259"/>
      <c r="U165" s="260"/>
      <c r="V165" s="260"/>
      <c r="W165" s="261"/>
    </row>
    <row r="166" ht="16.25" spans="1:23">
      <c r="A166" s="115">
        <v>45716</v>
      </c>
      <c r="B166" s="68"/>
      <c r="C166" s="68"/>
      <c r="D166" s="69"/>
      <c r="E166" s="164"/>
      <c r="F166" s="32"/>
      <c r="G166" s="33"/>
      <c r="H166" s="33"/>
      <c r="I166" s="33"/>
      <c r="J166" s="33"/>
      <c r="K166" s="33"/>
      <c r="L166" s="30"/>
      <c r="M166" s="252"/>
      <c r="N166" s="253"/>
      <c r="O166" s="253"/>
      <c r="P166" s="254"/>
      <c r="Q166" s="211">
        <f ca="1" t="shared" ref="Q166:Q173" si="14">S166/R166</f>
        <v>0.839285714285714</v>
      </c>
      <c r="R166" s="198">
        <f ca="1">VLOOKUP(INDIRECT("A"&amp;ROW()),收益表!$A$16:$U$10014,20,0)</f>
        <v>56</v>
      </c>
      <c r="S166" s="198">
        <f ca="1">VLOOKUP(INDIRECT("A"&amp;ROW()),收益表!$A$16:$U$10014,21,0)</f>
        <v>47</v>
      </c>
      <c r="T166" s="259"/>
      <c r="U166" s="260"/>
      <c r="V166" s="260"/>
      <c r="W166" s="261"/>
    </row>
    <row r="167" ht="16.25" spans="1:23">
      <c r="A167" s="115">
        <v>45719</v>
      </c>
      <c r="B167" s="68"/>
      <c r="C167" s="68"/>
      <c r="D167" s="69"/>
      <c r="E167" s="164"/>
      <c r="F167" s="32"/>
      <c r="G167" s="33"/>
      <c r="H167" s="33"/>
      <c r="I167" s="33"/>
      <c r="J167" s="33"/>
      <c r="K167" s="33"/>
      <c r="L167" s="30"/>
      <c r="Q167" s="211">
        <f ca="1" t="shared" si="14"/>
        <v>0.485714285714286</v>
      </c>
      <c r="R167" s="198">
        <f ca="1">VLOOKUP(INDIRECT("A"&amp;ROW()),收益表!$A$16:$U$10014,20,0)</f>
        <v>70</v>
      </c>
      <c r="S167" s="198">
        <f ca="1">VLOOKUP(INDIRECT("A"&amp;ROW()),收益表!$A$16:$U$10014,21,0)</f>
        <v>34</v>
      </c>
      <c r="T167" s="259"/>
      <c r="U167" s="260"/>
      <c r="V167" s="260"/>
      <c r="W167" s="261"/>
    </row>
    <row r="168" spans="1:23">
      <c r="A168" s="102">
        <v>45720</v>
      </c>
      <c r="B168" s="238" t="s">
        <v>229</v>
      </c>
      <c r="C168" s="165" t="s">
        <v>88</v>
      </c>
      <c r="D168" s="166" t="s">
        <v>89</v>
      </c>
      <c r="E168" s="167">
        <v>-0.0781</v>
      </c>
      <c r="F168" s="175">
        <v>0.0367</v>
      </c>
      <c r="G168" s="176">
        <v>0.0374</v>
      </c>
      <c r="H168" s="176">
        <v>-0.0323</v>
      </c>
      <c r="I168" s="52"/>
      <c r="J168" s="52"/>
      <c r="K168" s="52"/>
      <c r="L168" s="53"/>
      <c r="Q168" s="199">
        <f ca="1" t="shared" si="14"/>
        <v>0.147727272727273</v>
      </c>
      <c r="R168" s="198">
        <f ca="1">VLOOKUP(INDIRECT("A"&amp;ROW()),收益表!$A$16:$U$10014,20,0)</f>
        <v>88</v>
      </c>
      <c r="S168" s="198">
        <f ca="1">VLOOKUP(INDIRECT("A"&amp;ROW()),收益表!$A$16:$U$10014,21,0)</f>
        <v>13</v>
      </c>
      <c r="T168" s="259"/>
      <c r="U168" s="260"/>
      <c r="V168" s="260"/>
      <c r="W168" s="261"/>
    </row>
    <row r="169" spans="1:23">
      <c r="A169" s="102">
        <v>45721</v>
      </c>
      <c r="B169" s="218" t="s">
        <v>230</v>
      </c>
      <c r="C169" s="72" t="s">
        <v>98</v>
      </c>
      <c r="D169" s="42">
        <v>-0.0653</v>
      </c>
      <c r="E169" s="174">
        <v>0.0127</v>
      </c>
      <c r="F169" s="41" t="s">
        <v>92</v>
      </c>
      <c r="G169" s="35">
        <v>-0.067</v>
      </c>
      <c r="H169" s="35">
        <v>0.0153</v>
      </c>
      <c r="I169" s="121">
        <v>-0.0166</v>
      </c>
      <c r="J169" s="121">
        <f>(1+I169)*J165</f>
        <v>2.15643280070193</v>
      </c>
      <c r="K169" s="121">
        <v>-0.0166</v>
      </c>
      <c r="L169" s="250">
        <f>(1+K169)*L165</f>
        <v>3.44914261420374</v>
      </c>
      <c r="Q169" s="203">
        <f ca="1" t="shared" si="14"/>
        <v>0.0857142857142857</v>
      </c>
      <c r="R169" s="204">
        <f ca="1">VLOOKUP(INDIRECT("A"&amp;ROW()),收益表!$A$16:$U$10014,20,0)</f>
        <v>70</v>
      </c>
      <c r="S169" s="204">
        <f ca="1">VLOOKUP(INDIRECT("A"&amp;ROW()),收益表!$A$16:$U$10014,21,0)</f>
        <v>6</v>
      </c>
      <c r="T169" s="259"/>
      <c r="U169" s="260"/>
      <c r="V169" s="260"/>
      <c r="W169" s="261"/>
    </row>
    <row r="170" spans="1:23">
      <c r="A170" s="105"/>
      <c r="B170" s="68" t="s">
        <v>231</v>
      </c>
      <c r="C170" s="68" t="s">
        <v>98</v>
      </c>
      <c r="D170" s="69">
        <v>-0.061</v>
      </c>
      <c r="E170" s="177">
        <v>-0.0459</v>
      </c>
      <c r="F170" s="65">
        <v>0.0124</v>
      </c>
      <c r="G170" s="101">
        <v>-0.05</v>
      </c>
      <c r="H170" s="101">
        <v>0.0147</v>
      </c>
      <c r="I170" s="122"/>
      <c r="J170" s="122"/>
      <c r="K170" s="122"/>
      <c r="L170" s="251"/>
      <c r="Q170" s="205"/>
      <c r="R170" s="193"/>
      <c r="S170" s="193"/>
      <c r="T170" s="259"/>
      <c r="U170" s="260"/>
      <c r="V170" s="260"/>
      <c r="W170" s="261"/>
    </row>
    <row r="171" spans="1:23">
      <c r="A171" s="78">
        <v>45722</v>
      </c>
      <c r="B171" s="68"/>
      <c r="C171" s="68"/>
      <c r="D171" s="69"/>
      <c r="E171" s="164"/>
      <c r="F171" s="32"/>
      <c r="G171" s="33"/>
      <c r="H171" s="33"/>
      <c r="I171" s="101"/>
      <c r="J171" s="101"/>
      <c r="K171" s="101"/>
      <c r="L171" s="69"/>
      <c r="Q171" s="199">
        <f ca="1" t="shared" si="14"/>
        <v>0.0423728813559322</v>
      </c>
      <c r="R171" s="198">
        <f ca="1">VLOOKUP(INDIRECT("A"&amp;ROW()),收益表!$A$16:$U$10014,20,0)</f>
        <v>118</v>
      </c>
      <c r="S171" s="198">
        <f ca="1">VLOOKUP(INDIRECT("A"&amp;ROW()),收益表!$A$16:$U$10014,21,0)</f>
        <v>5</v>
      </c>
      <c r="T171" s="259"/>
      <c r="U171" s="260"/>
      <c r="V171" s="260"/>
      <c r="W171" s="261"/>
    </row>
    <row r="172" spans="1:23">
      <c r="A172" s="118">
        <v>45723</v>
      </c>
      <c r="B172" s="231" t="s">
        <v>232</v>
      </c>
      <c r="C172" s="231" t="s">
        <v>86</v>
      </c>
      <c r="D172" s="232">
        <v>-0.0565</v>
      </c>
      <c r="E172" s="233">
        <v>-0.0785</v>
      </c>
      <c r="F172" s="168">
        <v>-0.003</v>
      </c>
      <c r="G172" s="169">
        <v>-0.0195</v>
      </c>
      <c r="H172" s="169">
        <v>0.0084</v>
      </c>
      <c r="I172" s="101">
        <v>-0.0785</v>
      </c>
      <c r="J172" s="101">
        <f>(1+I172)*J169</f>
        <v>1.98715282584683</v>
      </c>
      <c r="K172" s="101"/>
      <c r="L172" s="69"/>
      <c r="Q172" s="211">
        <f ca="1" t="shared" si="14"/>
        <v>0.193548387096774</v>
      </c>
      <c r="R172" s="198">
        <f ca="1">VLOOKUP(INDIRECT("A"&amp;ROW()),收益表!$A$16:$U$10014,20,0)</f>
        <v>62</v>
      </c>
      <c r="S172" s="198">
        <f ca="1">VLOOKUP(INDIRECT("A"&amp;ROW()),收益表!$A$16:$U$10014,21,0)</f>
        <v>12</v>
      </c>
      <c r="T172" s="259"/>
      <c r="U172" s="260"/>
      <c r="V172" s="260"/>
      <c r="W172" s="261"/>
    </row>
    <row r="173" spans="1:23">
      <c r="A173" s="240">
        <v>45726</v>
      </c>
      <c r="B173" s="68" t="s">
        <v>233</v>
      </c>
      <c r="C173" s="68" t="s">
        <v>96</v>
      </c>
      <c r="D173" s="69">
        <v>0.0819</v>
      </c>
      <c r="E173" s="177">
        <v>-0.037</v>
      </c>
      <c r="F173" s="168">
        <v>-0.0089</v>
      </c>
      <c r="G173" s="169">
        <v>0.0351</v>
      </c>
      <c r="H173" s="169">
        <v>-0.0601</v>
      </c>
      <c r="I173" s="121">
        <v>-0.015</v>
      </c>
      <c r="J173" s="121">
        <f>(1+I173)*J172</f>
        <v>1.95734553345913</v>
      </c>
      <c r="K173" s="121"/>
      <c r="L173" s="53"/>
      <c r="Q173" s="203">
        <f ca="1" t="shared" si="14"/>
        <v>0.0860215053763441</v>
      </c>
      <c r="R173" s="204">
        <f ca="1">VLOOKUP(INDIRECT("A"&amp;ROW()),收益表!$A$16:$U$10014,20,0)</f>
        <v>93</v>
      </c>
      <c r="S173" s="204">
        <f ca="1">VLOOKUP(INDIRECT("A"&amp;ROW()),收益表!$A$16:$U$10014,21,0)</f>
        <v>8</v>
      </c>
      <c r="T173" s="259"/>
      <c r="U173" s="260"/>
      <c r="V173" s="260"/>
      <c r="W173" s="261"/>
    </row>
    <row r="174" spans="1:23">
      <c r="A174" s="241"/>
      <c r="B174" s="165" t="s">
        <v>234</v>
      </c>
      <c r="C174" s="165" t="s">
        <v>88</v>
      </c>
      <c r="D174" s="166">
        <v>-0.0288</v>
      </c>
      <c r="E174" s="167" t="s">
        <v>92</v>
      </c>
      <c r="F174" s="175" t="s">
        <v>92</v>
      </c>
      <c r="G174" s="176">
        <v>-0.03145</v>
      </c>
      <c r="H174" s="176">
        <v>-0.006</v>
      </c>
      <c r="I174" s="255"/>
      <c r="J174" s="255"/>
      <c r="K174" s="255"/>
      <c r="L174" s="249"/>
      <c r="Q174" s="210"/>
      <c r="R174" s="208"/>
      <c r="S174" s="208"/>
      <c r="T174" s="259"/>
      <c r="U174" s="260"/>
      <c r="V174" s="260"/>
      <c r="W174" s="261"/>
    </row>
    <row r="175" spans="1:23">
      <c r="A175" s="242"/>
      <c r="B175" s="72" t="s">
        <v>235</v>
      </c>
      <c r="C175" s="72" t="s">
        <v>96</v>
      </c>
      <c r="D175" s="42">
        <v>-0.0453</v>
      </c>
      <c r="E175" s="174">
        <v>0.0071</v>
      </c>
      <c r="F175" s="168">
        <v>0.0188</v>
      </c>
      <c r="G175" s="169">
        <v>0.03822</v>
      </c>
      <c r="H175" s="169">
        <v>0.0145</v>
      </c>
      <c r="I175" s="122"/>
      <c r="J175" s="122"/>
      <c r="K175" s="122"/>
      <c r="L175" s="75"/>
      <c r="Q175" s="205"/>
      <c r="R175" s="193"/>
      <c r="S175" s="193"/>
      <c r="T175" s="259"/>
      <c r="U175" s="260"/>
      <c r="V175" s="260"/>
      <c r="W175" s="261"/>
    </row>
    <row r="176" spans="1:23">
      <c r="A176" s="241">
        <v>45727</v>
      </c>
      <c r="B176" s="68" t="s">
        <v>236</v>
      </c>
      <c r="C176" s="68" t="s">
        <v>98</v>
      </c>
      <c r="D176" s="69">
        <v>-0.0981</v>
      </c>
      <c r="E176" s="177">
        <v>-0.0069</v>
      </c>
      <c r="F176" s="168">
        <v>0.0713</v>
      </c>
      <c r="G176" s="169">
        <v>-0.0406</v>
      </c>
      <c r="H176" s="169">
        <v>-0.0203</v>
      </c>
      <c r="I176" s="61">
        <v>0.0125</v>
      </c>
      <c r="J176" s="61">
        <f>(1+I176)*J173</f>
        <v>1.98181235262737</v>
      </c>
      <c r="K176" s="61"/>
      <c r="L176" s="62"/>
      <c r="Q176" s="203">
        <f ca="1">S176/R176</f>
        <v>0.0757575757575758</v>
      </c>
      <c r="R176" s="204">
        <f ca="1">VLOOKUP(INDIRECT("A"&amp;ROW()),收益表!$A$16:$U$10014,20,0)</f>
        <v>66</v>
      </c>
      <c r="S176" s="204">
        <f ca="1">VLOOKUP(INDIRECT("A"&amp;ROW()),收益表!$A$16:$U$10014,21,0)</f>
        <v>5</v>
      </c>
      <c r="T176" s="259"/>
      <c r="U176" s="260"/>
      <c r="V176" s="260"/>
      <c r="W176" s="261"/>
    </row>
    <row r="177" spans="1:23">
      <c r="A177" s="242"/>
      <c r="B177" s="231" t="s">
        <v>237</v>
      </c>
      <c r="C177" s="231" t="s">
        <v>86</v>
      </c>
      <c r="D177" s="232">
        <v>0.0225</v>
      </c>
      <c r="E177" s="233">
        <v>0.0328</v>
      </c>
      <c r="F177" s="168">
        <v>0</v>
      </c>
      <c r="G177" s="101" t="s">
        <v>89</v>
      </c>
      <c r="H177" s="169">
        <v>-0.0413</v>
      </c>
      <c r="I177" s="66"/>
      <c r="J177" s="66"/>
      <c r="K177" s="66"/>
      <c r="L177" s="67"/>
      <c r="Q177" s="205"/>
      <c r="R177" s="193"/>
      <c r="S177" s="193"/>
      <c r="T177" s="259"/>
      <c r="U177" s="260"/>
      <c r="V177" s="260"/>
      <c r="W177" s="261"/>
    </row>
    <row r="178" spans="1:23">
      <c r="A178" s="120">
        <v>45728</v>
      </c>
      <c r="B178" s="68" t="s">
        <v>238</v>
      </c>
      <c r="C178" s="68" t="s">
        <v>96</v>
      </c>
      <c r="D178" s="69">
        <v>-0.048</v>
      </c>
      <c r="E178" s="177">
        <v>-0.0132</v>
      </c>
      <c r="F178" s="168">
        <v>0.0267</v>
      </c>
      <c r="G178" s="35" t="s">
        <v>92</v>
      </c>
      <c r="H178" s="35" t="s">
        <v>92</v>
      </c>
      <c r="I178" s="101">
        <v>-0.0132</v>
      </c>
      <c r="J178" s="101">
        <f>(1+I178)*J176</f>
        <v>1.95565242957269</v>
      </c>
      <c r="K178" s="101">
        <v>-0.0132</v>
      </c>
      <c r="L178" s="69">
        <f>(1+K178)*L169</f>
        <v>3.40361393169625</v>
      </c>
      <c r="Q178" s="199">
        <f ca="1" t="shared" ref="Q178:Q183" si="15">S178/R178</f>
        <v>0.0212765957446809</v>
      </c>
      <c r="R178" s="198">
        <f ca="1">VLOOKUP(INDIRECT("A"&amp;ROW()),收益表!$A$16:$U$10014,20,0)</f>
        <v>94</v>
      </c>
      <c r="S178" s="198">
        <f ca="1">VLOOKUP(INDIRECT("A"&amp;ROW()),收益表!$A$16:$U$10014,21,0)</f>
        <v>2</v>
      </c>
      <c r="T178" s="259"/>
      <c r="U178" s="260"/>
      <c r="V178" s="260"/>
      <c r="W178" s="261"/>
    </row>
    <row r="179" spans="1:23">
      <c r="A179" s="76">
        <v>45729</v>
      </c>
      <c r="B179" s="68"/>
      <c r="C179" s="68"/>
      <c r="D179" s="69"/>
      <c r="E179" s="164"/>
      <c r="F179" s="32"/>
      <c r="G179" s="33"/>
      <c r="H179" s="33"/>
      <c r="I179" s="101"/>
      <c r="J179" s="101"/>
      <c r="K179" s="33"/>
      <c r="L179" s="30"/>
      <c r="Q179" s="211">
        <f ca="1" t="shared" si="15"/>
        <v>0.245614035087719</v>
      </c>
      <c r="R179" s="198">
        <f ca="1">VLOOKUP(INDIRECT("A"&amp;ROW()),收益表!$A$16:$U$10014,20,0)</f>
        <v>57</v>
      </c>
      <c r="S179" s="198">
        <f ca="1">VLOOKUP(INDIRECT("A"&amp;ROW()),收益表!$A$16:$U$10014,21,0)</f>
        <v>14</v>
      </c>
      <c r="T179" s="259"/>
      <c r="U179" s="260"/>
      <c r="V179" s="260"/>
      <c r="W179" s="261"/>
    </row>
    <row r="180" spans="1:23">
      <c r="A180" s="118">
        <v>45730</v>
      </c>
      <c r="B180" s="165" t="s">
        <v>239</v>
      </c>
      <c r="C180" s="165" t="s">
        <v>88</v>
      </c>
      <c r="D180" s="166" t="s">
        <v>89</v>
      </c>
      <c r="E180" s="167">
        <v>0.0341</v>
      </c>
      <c r="F180" s="175">
        <v>-0.0447</v>
      </c>
      <c r="G180" s="176">
        <v>-0.0081</v>
      </c>
      <c r="H180" s="176">
        <v>0.0154</v>
      </c>
      <c r="I180" s="101"/>
      <c r="J180" s="101"/>
      <c r="K180" s="33"/>
      <c r="L180" s="30"/>
      <c r="Q180" s="199">
        <f ca="1" t="shared" si="15"/>
        <v>0.0625</v>
      </c>
      <c r="R180" s="198">
        <f ca="1">VLOOKUP(INDIRECT("A"&amp;ROW()),收益表!$A$16:$U$10014,20,0)</f>
        <v>96</v>
      </c>
      <c r="S180" s="198">
        <f ca="1">VLOOKUP(INDIRECT("A"&amp;ROW()),收益表!$A$16:$U$10014,21,0)</f>
        <v>6</v>
      </c>
      <c r="T180" s="259"/>
      <c r="U180" s="260"/>
      <c r="V180" s="260"/>
      <c r="W180" s="261"/>
    </row>
    <row r="181" spans="1:23">
      <c r="A181" s="76">
        <v>45733</v>
      </c>
      <c r="B181" s="68"/>
      <c r="C181" s="68"/>
      <c r="D181" s="69"/>
      <c r="E181" s="164"/>
      <c r="F181" s="32"/>
      <c r="G181" s="33"/>
      <c r="H181" s="33"/>
      <c r="I181" s="101"/>
      <c r="J181" s="101"/>
      <c r="K181" s="33"/>
      <c r="L181" s="30"/>
      <c r="Q181" s="199">
        <f ca="1" t="shared" si="15"/>
        <v>0.130952380952381</v>
      </c>
      <c r="R181" s="198">
        <f ca="1">VLOOKUP(INDIRECT("A"&amp;ROW()),收益表!$A$16:$U$10014,20,0)</f>
        <v>84</v>
      </c>
      <c r="S181" s="198">
        <f ca="1">VLOOKUP(INDIRECT("A"&amp;ROW()),收益表!$A$16:$U$10014,21,0)</f>
        <v>11</v>
      </c>
      <c r="T181" s="259"/>
      <c r="U181" s="260"/>
      <c r="V181" s="260"/>
      <c r="W181" s="261"/>
    </row>
    <row r="182" spans="1:23">
      <c r="A182" s="76">
        <v>45734</v>
      </c>
      <c r="B182" s="68"/>
      <c r="C182" s="68"/>
      <c r="D182" s="69"/>
      <c r="E182" s="164"/>
      <c r="F182" s="168"/>
      <c r="G182" s="169"/>
      <c r="H182" s="33"/>
      <c r="I182" s="101"/>
      <c r="J182" s="101"/>
      <c r="K182" s="33"/>
      <c r="L182" s="30"/>
      <c r="Q182" s="211">
        <f ca="1" t="shared" si="15"/>
        <v>0.141025641025641</v>
      </c>
      <c r="R182" s="198">
        <f ca="1">VLOOKUP(INDIRECT("A"&amp;ROW()),收益表!$A$16:$U$10014,20,0)</f>
        <v>78</v>
      </c>
      <c r="S182" s="198">
        <f ca="1">VLOOKUP(INDIRECT("A"&amp;ROW()),收益表!$A$16:$U$10014,21,0)</f>
        <v>11</v>
      </c>
      <c r="T182" s="259"/>
      <c r="U182" s="260"/>
      <c r="V182" s="260"/>
      <c r="W182" s="261"/>
    </row>
    <row r="183" spans="1:23">
      <c r="A183" s="102">
        <v>45735</v>
      </c>
      <c r="B183" s="68" t="s">
        <v>240</v>
      </c>
      <c r="C183" s="68" t="s">
        <v>98</v>
      </c>
      <c r="D183" s="69">
        <v>0.005</v>
      </c>
      <c r="E183" s="177">
        <v>-0.0401</v>
      </c>
      <c r="F183" s="175">
        <v>0.0078</v>
      </c>
      <c r="G183" s="176">
        <v>-0.0544</v>
      </c>
      <c r="H183" s="176">
        <v>-0.0438</v>
      </c>
      <c r="I183" s="121">
        <v>-0.026</v>
      </c>
      <c r="J183" s="121">
        <f>(1+I183)*J178</f>
        <v>1.9048054664038</v>
      </c>
      <c r="K183" s="52"/>
      <c r="L183" s="53"/>
      <c r="Q183" s="206">
        <f ca="1" t="shared" si="15"/>
        <v>0.142857142857143</v>
      </c>
      <c r="R183" s="204">
        <f ca="1">VLOOKUP(INDIRECT("A"&amp;ROW()),收益表!$A$16:$U$10014,20,0)</f>
        <v>56</v>
      </c>
      <c r="S183" s="204">
        <f ca="1">VLOOKUP(INDIRECT("A"&amp;ROW()),收益表!$A$16:$U$10014,21,0)</f>
        <v>8</v>
      </c>
      <c r="T183" s="259"/>
      <c r="U183" s="260"/>
      <c r="V183" s="260"/>
      <c r="W183" s="261"/>
    </row>
    <row r="184" spans="1:23">
      <c r="A184" s="103"/>
      <c r="B184" s="238" t="s">
        <v>238</v>
      </c>
      <c r="C184" s="165" t="s">
        <v>88</v>
      </c>
      <c r="D184" s="166">
        <v>-0.0698</v>
      </c>
      <c r="E184" s="167">
        <v>-0.0885</v>
      </c>
      <c r="F184" s="175">
        <v>0.0084</v>
      </c>
      <c r="G184" s="176">
        <v>-0.0816</v>
      </c>
      <c r="H184" s="176">
        <v>0.0205</v>
      </c>
      <c r="I184" s="255"/>
      <c r="J184" s="255"/>
      <c r="K184" s="248"/>
      <c r="L184" s="249"/>
      <c r="Q184" s="207"/>
      <c r="R184" s="208"/>
      <c r="S184" s="208"/>
      <c r="T184" s="259"/>
      <c r="U184" s="260"/>
      <c r="V184" s="260"/>
      <c r="W184" s="261"/>
    </row>
    <row r="185" spans="1:23">
      <c r="A185" s="105"/>
      <c r="B185" s="68" t="s">
        <v>241</v>
      </c>
      <c r="C185" s="68" t="s">
        <v>98</v>
      </c>
      <c r="D185" s="69">
        <v>-0.0577</v>
      </c>
      <c r="E185" s="177">
        <v>-0.0122</v>
      </c>
      <c r="F185" s="175">
        <v>-0.0088</v>
      </c>
      <c r="G185" s="176">
        <v>-0.0339</v>
      </c>
      <c r="H185" s="176">
        <v>-0.0018</v>
      </c>
      <c r="I185" s="122"/>
      <c r="J185" s="122"/>
      <c r="K185" s="74"/>
      <c r="L185" s="75"/>
      <c r="Q185" s="209"/>
      <c r="R185" s="193"/>
      <c r="S185" s="193"/>
      <c r="T185" s="259"/>
      <c r="U185" s="260"/>
      <c r="V185" s="260"/>
      <c r="W185" s="261"/>
    </row>
    <row r="186" spans="1:23">
      <c r="A186" s="78">
        <v>45736</v>
      </c>
      <c r="B186" s="72" t="s">
        <v>242</v>
      </c>
      <c r="C186" s="72" t="s">
        <v>96</v>
      </c>
      <c r="D186" s="42">
        <v>0.0898</v>
      </c>
      <c r="E186" s="174">
        <v>0.0223</v>
      </c>
      <c r="F186" s="175">
        <v>0.0874</v>
      </c>
      <c r="G186" s="35" t="s">
        <v>92</v>
      </c>
      <c r="H186" s="35" t="s">
        <v>92</v>
      </c>
      <c r="I186" s="101">
        <v>0.0223</v>
      </c>
      <c r="J186" s="101">
        <f>(1+I186)*J183</f>
        <v>1.9472826283046</v>
      </c>
      <c r="K186" s="33"/>
      <c r="L186" s="30"/>
      <c r="Q186" s="199">
        <f ca="1" t="shared" ref="Q186:Q189" si="16">S186/R186</f>
        <v>0.0958904109589041</v>
      </c>
      <c r="R186" s="198">
        <f ca="1">VLOOKUP(INDIRECT("A"&amp;ROW()),收益表!$A$16:$U$10014,20,0)</f>
        <v>73</v>
      </c>
      <c r="S186" s="198">
        <f ca="1">VLOOKUP(INDIRECT("A"&amp;ROW()),收益表!$A$16:$U$10014,21,0)</f>
        <v>7</v>
      </c>
      <c r="T186" s="259"/>
      <c r="U186" s="260"/>
      <c r="V186" s="260"/>
      <c r="W186" s="261"/>
    </row>
    <row r="187" spans="1:23">
      <c r="A187" s="76">
        <v>45737</v>
      </c>
      <c r="B187" s="68"/>
      <c r="C187" s="68"/>
      <c r="D187" s="69"/>
      <c r="E187" s="164"/>
      <c r="F187" s="32"/>
      <c r="G187" s="33"/>
      <c r="H187" s="33"/>
      <c r="I187" s="101"/>
      <c r="J187" s="101"/>
      <c r="K187" s="33"/>
      <c r="L187" s="30"/>
      <c r="Q187" s="211">
        <f ca="1" t="shared" si="16"/>
        <v>0.553571428571429</v>
      </c>
      <c r="R187" s="198">
        <f ca="1">VLOOKUP(INDIRECT("A"&amp;ROW()),收益表!$A$16:$U$10014,20,0)</f>
        <v>56</v>
      </c>
      <c r="S187" s="198">
        <f ca="1">VLOOKUP(INDIRECT("A"&amp;ROW()),收益表!$A$16:$U$10014,21,0)</f>
        <v>31</v>
      </c>
      <c r="T187" s="259"/>
      <c r="U187" s="260"/>
      <c r="V187" s="260"/>
      <c r="W187" s="261"/>
    </row>
    <row r="188" spans="1:23">
      <c r="A188" s="76">
        <v>45740</v>
      </c>
      <c r="B188" s="68"/>
      <c r="C188" s="68"/>
      <c r="D188" s="69"/>
      <c r="E188" s="164"/>
      <c r="F188" s="32"/>
      <c r="G188" s="33"/>
      <c r="H188" s="33"/>
      <c r="I188" s="101"/>
      <c r="J188" s="101"/>
      <c r="K188" s="33"/>
      <c r="L188" s="30"/>
      <c r="Q188" s="211">
        <f ca="1" t="shared" si="16"/>
        <v>0.87037037037037</v>
      </c>
      <c r="R188" s="198">
        <f ca="1">VLOOKUP(INDIRECT("A"&amp;ROW()),收益表!$A$16:$U$10014,20,0)</f>
        <v>54</v>
      </c>
      <c r="S188" s="198">
        <f ca="1">VLOOKUP(INDIRECT("A"&amp;ROW()),收益表!$A$16:$U$10014,21,0)</f>
        <v>47</v>
      </c>
      <c r="T188" s="259"/>
      <c r="U188" s="260"/>
      <c r="V188" s="260"/>
      <c r="W188" s="261"/>
    </row>
    <row r="189" spans="1:23">
      <c r="A189" s="78">
        <v>45741</v>
      </c>
      <c r="B189" s="45" t="s">
        <v>243</v>
      </c>
      <c r="C189" s="45" t="s">
        <v>98</v>
      </c>
      <c r="D189" s="46">
        <v>0.065</v>
      </c>
      <c r="E189" s="180" t="s">
        <v>89</v>
      </c>
      <c r="F189" s="175">
        <v>-0.0866</v>
      </c>
      <c r="G189" s="176">
        <v>-0.092</v>
      </c>
      <c r="H189" s="176">
        <v>-0.0227</v>
      </c>
      <c r="I189" s="101">
        <v>-0.1</v>
      </c>
      <c r="J189" s="101">
        <f>(1+I189)*J186</f>
        <v>1.75255436547414</v>
      </c>
      <c r="K189" s="33"/>
      <c r="L189" s="30"/>
      <c r="Q189" s="211">
        <f ca="1" t="shared" si="16"/>
        <v>0.807017543859649</v>
      </c>
      <c r="R189" s="198">
        <f ca="1">VLOOKUP(INDIRECT("A"&amp;ROW()),收益表!$A$16:$U$10014,20,0)</f>
        <v>57</v>
      </c>
      <c r="S189" s="198">
        <f ca="1">VLOOKUP(INDIRECT("A"&amp;ROW()),收益表!$A$16:$U$10014,21,0)</f>
        <v>46</v>
      </c>
      <c r="T189" s="259"/>
      <c r="U189" s="260"/>
      <c r="V189" s="260"/>
      <c r="W189" s="261"/>
    </row>
    <row r="190" spans="1:23">
      <c r="A190" s="78">
        <v>45742</v>
      </c>
      <c r="B190" s="45" t="s">
        <v>244</v>
      </c>
      <c r="C190" s="45" t="s">
        <v>98</v>
      </c>
      <c r="D190" s="46">
        <v>-0.0044</v>
      </c>
      <c r="E190" s="180" t="s">
        <v>89</v>
      </c>
      <c r="F190" s="213" t="s">
        <v>89</v>
      </c>
      <c r="G190" s="176">
        <v>-0.0409</v>
      </c>
      <c r="H190" s="176">
        <v>-0.0121</v>
      </c>
      <c r="I190" s="101">
        <v>-0.1</v>
      </c>
      <c r="J190" s="101">
        <f>(1+I190)*J189</f>
        <v>1.57729892892673</v>
      </c>
      <c r="K190" s="33"/>
      <c r="L190" s="30"/>
      <c r="Q190" s="199">
        <f ca="1" t="shared" ref="Q190:Q201" si="17">S190/R190</f>
        <v>0.133333333333333</v>
      </c>
      <c r="R190" s="198">
        <f ca="1">VLOOKUP(INDIRECT("A"&amp;ROW()),收益表!$A$16:$U$10014,20,0)</f>
        <v>90</v>
      </c>
      <c r="S190" s="198">
        <f ca="1">VLOOKUP(INDIRECT("A"&amp;ROW()),收益表!$A$16:$U$10014,21,0)</f>
        <v>12</v>
      </c>
      <c r="T190" s="259"/>
      <c r="U190" s="260"/>
      <c r="V190" s="260"/>
      <c r="W190" s="261"/>
    </row>
    <row r="191" spans="1:23">
      <c r="A191" s="76">
        <v>45743</v>
      </c>
      <c r="B191" s="68"/>
      <c r="C191" s="68"/>
      <c r="D191" s="69"/>
      <c r="E191" s="164"/>
      <c r="F191" s="32"/>
      <c r="G191" s="176"/>
      <c r="H191" s="176"/>
      <c r="I191" s="101"/>
      <c r="J191" s="101"/>
      <c r="K191" s="33"/>
      <c r="L191" s="30"/>
      <c r="Q191" s="211">
        <f ca="1" t="shared" si="17"/>
        <v>0.527272727272727</v>
      </c>
      <c r="R191" s="198">
        <f ca="1">VLOOKUP(INDIRECT("A"&amp;ROW()),收益表!$A$16:$U$10014,20,0)</f>
        <v>55</v>
      </c>
      <c r="S191" s="198">
        <f ca="1">VLOOKUP(INDIRECT("A"&amp;ROW()),收益表!$A$16:$U$10014,21,0)</f>
        <v>29</v>
      </c>
      <c r="T191" s="259"/>
      <c r="U191" s="260"/>
      <c r="V191" s="260"/>
      <c r="W191" s="261"/>
    </row>
    <row r="192" spans="1:23">
      <c r="A192" s="76">
        <v>45744</v>
      </c>
      <c r="B192" s="68"/>
      <c r="C192" s="68"/>
      <c r="D192" s="69"/>
      <c r="E192" s="164"/>
      <c r="F192" s="32"/>
      <c r="G192" s="176"/>
      <c r="H192" s="176"/>
      <c r="I192" s="101"/>
      <c r="J192" s="101"/>
      <c r="K192" s="33"/>
      <c r="L192" s="30"/>
      <c r="Q192" s="211">
        <f ca="1" t="shared" si="17"/>
        <v>0.942857142857143</v>
      </c>
      <c r="R192" s="198">
        <f ca="1">VLOOKUP(INDIRECT("A"&amp;ROW()),收益表!$A$16:$U$10014,20,0)</f>
        <v>35</v>
      </c>
      <c r="S192" s="198">
        <f ca="1">VLOOKUP(INDIRECT("A"&amp;ROW()),收益表!$A$16:$U$10014,21,0)</f>
        <v>33</v>
      </c>
      <c r="T192" s="259"/>
      <c r="U192" s="260"/>
      <c r="V192" s="260"/>
      <c r="W192" s="261"/>
    </row>
    <row r="193" spans="1:23">
      <c r="A193" s="102">
        <v>45747</v>
      </c>
      <c r="B193" s="68" t="s">
        <v>245</v>
      </c>
      <c r="C193" s="68" t="s">
        <v>98</v>
      </c>
      <c r="D193" s="69">
        <v>-0.0964</v>
      </c>
      <c r="E193" s="177">
        <v>-0.0983</v>
      </c>
      <c r="F193" s="175">
        <v>0.0185</v>
      </c>
      <c r="G193" s="176">
        <v>-0.0272</v>
      </c>
      <c r="H193" s="176">
        <v>-0.0205</v>
      </c>
      <c r="I193" s="121">
        <v>-0.1</v>
      </c>
      <c r="J193" s="121">
        <f>(1+I193)*J190</f>
        <v>1.41956903603406</v>
      </c>
      <c r="K193" s="52"/>
      <c r="L193" s="53"/>
      <c r="Q193" s="206">
        <f ca="1" t="shared" si="17"/>
        <v>1.04878048780488</v>
      </c>
      <c r="R193" s="204">
        <f ca="1">VLOOKUP(INDIRECT("A"&amp;ROW()),收益表!$A$16:$U$10014,20,0)</f>
        <v>41</v>
      </c>
      <c r="S193" s="204">
        <f ca="1">VLOOKUP(INDIRECT("A"&amp;ROW()),收益表!$A$16:$U$10014,21,0)</f>
        <v>43</v>
      </c>
      <c r="T193" s="259"/>
      <c r="U193" s="260"/>
      <c r="V193" s="260"/>
      <c r="W193" s="261"/>
    </row>
    <row r="194" spans="1:23">
      <c r="A194" s="105"/>
      <c r="B194" s="45" t="s">
        <v>246</v>
      </c>
      <c r="C194" s="45" t="s">
        <v>98</v>
      </c>
      <c r="D194" s="46" t="s">
        <v>89</v>
      </c>
      <c r="E194" s="180" t="s">
        <v>89</v>
      </c>
      <c r="F194" s="175">
        <v>-0.0681</v>
      </c>
      <c r="G194" s="176">
        <v>0.0187</v>
      </c>
      <c r="H194" s="176">
        <v>-0.0167</v>
      </c>
      <c r="I194" s="122"/>
      <c r="J194" s="122"/>
      <c r="K194" s="74"/>
      <c r="L194" s="75"/>
      <c r="Q194" s="209"/>
      <c r="R194" s="193"/>
      <c r="S194" s="193"/>
      <c r="T194" s="259"/>
      <c r="U194" s="260"/>
      <c r="V194" s="260"/>
      <c r="W194" s="261"/>
    </row>
    <row r="195" spans="1:23">
      <c r="A195" s="76">
        <v>45748</v>
      </c>
      <c r="B195" s="68"/>
      <c r="C195" s="68"/>
      <c r="D195" s="69"/>
      <c r="E195" s="164"/>
      <c r="F195" s="32"/>
      <c r="G195" s="33"/>
      <c r="H195" s="33"/>
      <c r="I195" s="33"/>
      <c r="J195" s="33"/>
      <c r="K195" s="33"/>
      <c r="L195" s="30"/>
      <c r="Q195" s="199">
        <f ca="1" t="shared" si="17"/>
        <v>0.292307692307692</v>
      </c>
      <c r="R195" s="198">
        <f ca="1">VLOOKUP(INDIRECT("A"&amp;ROW()),收益表!$A$16:$U$10014,20,0)</f>
        <v>65</v>
      </c>
      <c r="S195" s="198">
        <f ca="1">VLOOKUP(INDIRECT("A"&amp;ROW()),收益表!$A$16:$U$10014,21,0)</f>
        <v>19</v>
      </c>
      <c r="T195" s="259"/>
      <c r="U195" s="260"/>
      <c r="V195" s="260"/>
      <c r="W195" s="261"/>
    </row>
    <row r="196" spans="1:23">
      <c r="A196" s="76">
        <v>45749</v>
      </c>
      <c r="B196" s="68"/>
      <c r="C196" s="68"/>
      <c r="D196" s="69"/>
      <c r="E196" s="164"/>
      <c r="F196" s="32"/>
      <c r="G196" s="33"/>
      <c r="H196" s="33"/>
      <c r="I196" s="33"/>
      <c r="J196" s="33"/>
      <c r="K196" s="33"/>
      <c r="L196" s="30"/>
      <c r="Q196" s="211">
        <f ca="1" t="shared" si="17"/>
        <v>0.395833333333333</v>
      </c>
      <c r="R196" s="198">
        <f ca="1">VLOOKUP(INDIRECT("A"&amp;ROW()),收益表!$A$16:$U$10014,20,0)</f>
        <v>48</v>
      </c>
      <c r="S196" s="198">
        <f ca="1">VLOOKUP(INDIRECT("A"&amp;ROW()),收益表!$A$16:$U$10014,21,0)</f>
        <v>19</v>
      </c>
      <c r="T196" s="259"/>
      <c r="U196" s="260"/>
      <c r="V196" s="260"/>
      <c r="W196" s="261"/>
    </row>
    <row r="197" spans="1:23">
      <c r="A197" s="76">
        <v>45750</v>
      </c>
      <c r="B197" s="68"/>
      <c r="C197" s="68"/>
      <c r="D197" s="69"/>
      <c r="E197" s="164"/>
      <c r="F197" s="32"/>
      <c r="G197" s="33"/>
      <c r="H197" s="33"/>
      <c r="I197" s="33"/>
      <c r="J197" s="33"/>
      <c r="K197" s="33"/>
      <c r="L197" s="30"/>
      <c r="Q197" s="211">
        <f ca="1" t="shared" si="17"/>
        <v>0.508474576271186</v>
      </c>
      <c r="R197" s="198">
        <f ca="1">VLOOKUP(INDIRECT("A"&amp;ROW()),收益表!$A$16:$U$10014,20,0)</f>
        <v>59</v>
      </c>
      <c r="S197" s="198">
        <f ca="1">VLOOKUP(INDIRECT("A"&amp;ROW()),收益表!$A$16:$U$10014,21,0)</f>
        <v>30</v>
      </c>
      <c r="T197" s="295"/>
      <c r="U197" s="296"/>
      <c r="V197" s="296"/>
      <c r="W197" s="297"/>
    </row>
    <row r="198" spans="1:23">
      <c r="A198" s="76">
        <v>45754</v>
      </c>
      <c r="B198" s="68"/>
      <c r="C198" s="68"/>
      <c r="D198" s="69"/>
      <c r="E198" s="164"/>
      <c r="F198" s="32"/>
      <c r="G198" s="33"/>
      <c r="H198" s="33"/>
      <c r="I198" s="33"/>
      <c r="J198" s="33"/>
      <c r="K198" s="33"/>
      <c r="L198" s="30"/>
      <c r="Q198" s="211">
        <f ca="1" t="shared" si="17"/>
        <v>116.08</v>
      </c>
      <c r="R198" s="198">
        <f ca="1">VLOOKUP(INDIRECT("A"&amp;ROW()),收益表!$A$16:$U$10014,20,0)</f>
        <v>25</v>
      </c>
      <c r="S198" s="198">
        <f ca="1">VLOOKUP(INDIRECT("A"&amp;ROW()),收益表!$A$16:$U$10014,21,0)</f>
        <v>2902</v>
      </c>
      <c r="T198" s="295"/>
      <c r="U198" s="296"/>
      <c r="V198" s="296"/>
      <c r="W198" s="297"/>
    </row>
    <row r="199" spans="1:23">
      <c r="A199" s="76">
        <v>45755</v>
      </c>
      <c r="B199" s="68"/>
      <c r="C199" s="68"/>
      <c r="D199" s="69"/>
      <c r="E199" s="164"/>
      <c r="F199" s="32"/>
      <c r="G199" s="33"/>
      <c r="H199" s="33"/>
      <c r="I199" s="33"/>
      <c r="J199" s="33"/>
      <c r="K199" s="33"/>
      <c r="L199" s="30"/>
      <c r="Q199" s="199">
        <f ca="1" t="shared" si="17"/>
        <v>1.32283464566929</v>
      </c>
      <c r="R199" s="198">
        <f ca="1">VLOOKUP(INDIRECT("A"&amp;ROW()),收益表!$A$16:$U$10014,20,0)</f>
        <v>127</v>
      </c>
      <c r="S199" s="198">
        <f ca="1">VLOOKUP(INDIRECT("A"&amp;ROW()),收益表!$A$16:$U$10014,21,0)</f>
        <v>168</v>
      </c>
      <c r="T199" s="295"/>
      <c r="U199" s="296"/>
      <c r="V199" s="296"/>
      <c r="W199" s="297"/>
    </row>
    <row r="200" spans="1:23">
      <c r="A200" s="76">
        <v>45756</v>
      </c>
      <c r="B200" s="68"/>
      <c r="C200" s="68"/>
      <c r="D200" s="69"/>
      <c r="E200" s="164"/>
      <c r="F200" s="32"/>
      <c r="G200" s="33"/>
      <c r="H200" s="33"/>
      <c r="I200" s="33"/>
      <c r="J200" s="33"/>
      <c r="K200" s="33"/>
      <c r="L200" s="30"/>
      <c r="Q200" s="199">
        <f ca="1" t="shared" si="17"/>
        <v>0.1015625</v>
      </c>
      <c r="R200" s="198">
        <f ca="1">VLOOKUP(INDIRECT("A"&amp;ROW()),收益表!$A$16:$U$10014,20,0)</f>
        <v>128</v>
      </c>
      <c r="S200" s="198">
        <f ca="1">VLOOKUP(INDIRECT("A"&amp;ROW()),收益表!$A$16:$U$10014,21,0)</f>
        <v>13</v>
      </c>
      <c r="T200" s="295"/>
      <c r="U200" s="296"/>
      <c r="V200" s="296"/>
      <c r="W200" s="297"/>
    </row>
    <row r="201" spans="1:23">
      <c r="A201" s="78">
        <v>45757</v>
      </c>
      <c r="B201" s="231" t="s">
        <v>247</v>
      </c>
      <c r="C201" s="231" t="s">
        <v>86</v>
      </c>
      <c r="D201" s="232" t="s">
        <v>248</v>
      </c>
      <c r="E201" s="233">
        <v>-0.0918</v>
      </c>
      <c r="F201" s="268">
        <v>-0.0009</v>
      </c>
      <c r="G201" s="176">
        <v>0.0407</v>
      </c>
      <c r="H201" s="176">
        <v>-0.0408</v>
      </c>
      <c r="I201" s="33"/>
      <c r="J201" s="33"/>
      <c r="K201" s="33"/>
      <c r="L201" s="30"/>
      <c r="Q201" s="199">
        <f ca="1" t="shared" si="17"/>
        <v>0.0114942528735632</v>
      </c>
      <c r="R201" s="198">
        <f ca="1">VLOOKUP(INDIRECT("A"&amp;ROW()),收益表!$A$16:$U$10014,20,0)</f>
        <v>174</v>
      </c>
      <c r="S201" s="198">
        <f ca="1">VLOOKUP(INDIRECT("A"&amp;ROW()),收益表!$A$16:$U$10014,21,0)</f>
        <v>2</v>
      </c>
      <c r="T201" s="295"/>
      <c r="U201" s="296"/>
      <c r="V201" s="296"/>
      <c r="W201" s="297"/>
    </row>
    <row r="202" spans="1:23">
      <c r="A202" s="76">
        <v>45758</v>
      </c>
      <c r="B202" s="231"/>
      <c r="C202" s="231"/>
      <c r="D202" s="232"/>
      <c r="E202" s="233"/>
      <c r="F202" s="41"/>
      <c r="G202" s="35"/>
      <c r="H202" s="35"/>
      <c r="I202" s="35"/>
      <c r="J202" s="35"/>
      <c r="K202" s="35"/>
      <c r="L202" s="42"/>
      <c r="Q202" s="199">
        <f ca="1" t="shared" ref="Q202:Q219" si="18">S202/R202</f>
        <v>0.105769230769231</v>
      </c>
      <c r="R202" s="198">
        <f ca="1">VLOOKUP(INDIRECT("A"&amp;ROW()),收益表!$A$16:$U$10014,20,0)</f>
        <v>104</v>
      </c>
      <c r="S202" s="198">
        <f ca="1">VLOOKUP(INDIRECT("A"&amp;ROW()),收益表!$A$16:$U$10014,21,0)</f>
        <v>11</v>
      </c>
      <c r="T202" s="295"/>
      <c r="U202" s="296"/>
      <c r="V202" s="296"/>
      <c r="W202" s="297"/>
    </row>
    <row r="203" spans="1:23">
      <c r="A203" s="76">
        <v>45761</v>
      </c>
      <c r="B203" s="231"/>
      <c r="C203" s="231"/>
      <c r="D203" s="232"/>
      <c r="E203" s="233"/>
      <c r="F203" s="32"/>
      <c r="G203" s="33"/>
      <c r="H203" s="33"/>
      <c r="I203" s="33"/>
      <c r="J203" s="33"/>
      <c r="K203" s="33"/>
      <c r="L203" s="30"/>
      <c r="Q203" s="199">
        <f ca="1" t="shared" si="18"/>
        <v>0.0310077519379845</v>
      </c>
      <c r="R203" s="198">
        <f ca="1">VLOOKUP(INDIRECT("A"&amp;ROW()),收益表!$A$16:$U$10014,20,0)</f>
        <v>129</v>
      </c>
      <c r="S203" s="198">
        <f ca="1">VLOOKUP(INDIRECT("A"&amp;ROW()),收益表!$A$16:$U$10014,21,0)</f>
        <v>4</v>
      </c>
      <c r="T203" s="295"/>
      <c r="U203" s="296"/>
      <c r="V203" s="296"/>
      <c r="W203" s="297"/>
    </row>
    <row r="204" spans="1:23">
      <c r="A204" s="103">
        <v>45762</v>
      </c>
      <c r="B204" s="231" t="s">
        <v>249</v>
      </c>
      <c r="C204" s="231" t="s">
        <v>86</v>
      </c>
      <c r="D204" s="232">
        <v>-0.0831</v>
      </c>
      <c r="E204" s="233">
        <v>0.0077</v>
      </c>
      <c r="F204" s="175">
        <v>-0.064</v>
      </c>
      <c r="G204" s="176">
        <v>-0.0521</v>
      </c>
      <c r="H204" s="176">
        <v>-0.0069</v>
      </c>
      <c r="I204" s="52"/>
      <c r="J204" s="52"/>
      <c r="K204" s="52"/>
      <c r="L204" s="53"/>
      <c r="Q204" s="206">
        <f ca="1" t="shared" si="18"/>
        <v>0.135802469135802</v>
      </c>
      <c r="R204" s="204">
        <f ca="1">VLOOKUP(INDIRECT("A"&amp;ROW()),收益表!$A$16:$U$10014,20,0)</f>
        <v>81</v>
      </c>
      <c r="S204" s="204">
        <f ca="1">VLOOKUP(INDIRECT("A"&amp;ROW()),收益表!$A$16:$U$10014,21,0)</f>
        <v>11</v>
      </c>
      <c r="T204" s="295"/>
      <c r="U204" s="296"/>
      <c r="V204" s="296"/>
      <c r="W204" s="297"/>
    </row>
    <row r="205" spans="1:23">
      <c r="A205" s="103"/>
      <c r="B205" s="231" t="s">
        <v>250</v>
      </c>
      <c r="C205" s="231" t="s">
        <v>86</v>
      </c>
      <c r="D205" s="232" t="s">
        <v>251</v>
      </c>
      <c r="E205" s="269">
        <v>-0.0601</v>
      </c>
      <c r="F205" s="175">
        <v>0.003</v>
      </c>
      <c r="G205" s="176">
        <v>-0.0592</v>
      </c>
      <c r="H205" s="176">
        <v>0.0258</v>
      </c>
      <c r="I205" s="248"/>
      <c r="J205" s="248"/>
      <c r="K205" s="248"/>
      <c r="L205" s="249"/>
      <c r="Q205" s="207"/>
      <c r="R205" s="208"/>
      <c r="S205" s="208"/>
      <c r="T205" s="295"/>
      <c r="U205" s="296"/>
      <c r="V205" s="296"/>
      <c r="W205" s="297"/>
    </row>
    <row r="206" spans="1:23">
      <c r="A206" s="105"/>
      <c r="B206" s="231" t="s">
        <v>252</v>
      </c>
      <c r="C206" s="231" t="s">
        <v>86</v>
      </c>
      <c r="D206" s="232">
        <v>-0.0994</v>
      </c>
      <c r="E206" s="233">
        <v>-0.0287</v>
      </c>
      <c r="F206" s="175" t="s">
        <v>92</v>
      </c>
      <c r="G206" s="176">
        <v>0.0197</v>
      </c>
      <c r="H206" s="176">
        <v>-0.0382</v>
      </c>
      <c r="I206" s="74"/>
      <c r="J206" s="74"/>
      <c r="K206" s="74"/>
      <c r="L206" s="75"/>
      <c r="Q206" s="209"/>
      <c r="R206" s="193"/>
      <c r="S206" s="193"/>
      <c r="T206" s="295"/>
      <c r="U206" s="296"/>
      <c r="V206" s="296"/>
      <c r="W206" s="297"/>
    </row>
    <row r="207" spans="1:23">
      <c r="A207" s="78">
        <v>45763</v>
      </c>
      <c r="B207" s="68"/>
      <c r="C207" s="68"/>
      <c r="D207" s="69"/>
      <c r="E207" s="164"/>
      <c r="F207" s="32"/>
      <c r="G207" s="33"/>
      <c r="H207" s="33"/>
      <c r="I207" s="33"/>
      <c r="J207" s="33"/>
      <c r="K207" s="33"/>
      <c r="L207" s="30"/>
      <c r="Q207" s="211">
        <f ca="1" t="shared" si="18"/>
        <v>0.259259259259259</v>
      </c>
      <c r="R207" s="198">
        <f ca="1">VLOOKUP(INDIRECT("A"&amp;ROW()),收益表!$A$16:$U$10014,20,0)</f>
        <v>54</v>
      </c>
      <c r="S207" s="198">
        <f ca="1">VLOOKUP(INDIRECT("A"&amp;ROW()),收益表!$A$16:$U$10014,21,0)</f>
        <v>14</v>
      </c>
      <c r="T207" s="295"/>
      <c r="U207" s="296"/>
      <c r="V207" s="296"/>
      <c r="W207" s="297"/>
    </row>
    <row r="208" spans="1:23">
      <c r="A208" s="102">
        <v>45764</v>
      </c>
      <c r="B208" s="231" t="s">
        <v>253</v>
      </c>
      <c r="C208" s="231" t="s">
        <v>86</v>
      </c>
      <c r="D208" s="232">
        <v>-0.0124</v>
      </c>
      <c r="E208" s="233" t="s">
        <v>92</v>
      </c>
      <c r="F208" s="175">
        <v>-0.0305</v>
      </c>
      <c r="G208" s="35" t="s">
        <v>92</v>
      </c>
      <c r="H208" s="270">
        <v>-0.0821</v>
      </c>
      <c r="I208" s="33"/>
      <c r="J208" s="33"/>
      <c r="K208" s="33"/>
      <c r="L208" s="30"/>
      <c r="Q208" s="199">
        <f ca="1" t="shared" si="18"/>
        <v>0.121212121212121</v>
      </c>
      <c r="R208" s="198">
        <f ca="1">VLOOKUP(INDIRECT("A"&amp;ROW()),收益表!$A$16:$U$10014,20,0)</f>
        <v>99</v>
      </c>
      <c r="S208" s="198">
        <f ca="1">VLOOKUP(INDIRECT("A"&amp;ROW()),收益表!$A$16:$U$10014,21,0)</f>
        <v>12</v>
      </c>
      <c r="T208" s="295"/>
      <c r="U208" s="296"/>
      <c r="V208" s="296"/>
      <c r="W208" s="297"/>
    </row>
    <row r="209" spans="1:23">
      <c r="A209" s="118">
        <v>45765</v>
      </c>
      <c r="B209" s="68"/>
      <c r="C209" s="68"/>
      <c r="D209" s="69"/>
      <c r="E209" s="164"/>
      <c r="F209" s="32"/>
      <c r="G209" s="33"/>
      <c r="H209" s="33"/>
      <c r="I209" s="33"/>
      <c r="J209" s="33"/>
      <c r="K209" s="33"/>
      <c r="L209" s="30"/>
      <c r="Q209" s="211">
        <f ca="1" t="shared" si="18"/>
        <v>0.298507462686567</v>
      </c>
      <c r="R209" s="198">
        <f ca="1">VLOOKUP(INDIRECT("A"&amp;ROW()),收益表!$A$16:$U$10014,20,0)</f>
        <v>67</v>
      </c>
      <c r="S209" s="198">
        <f ca="1">VLOOKUP(INDIRECT("A"&amp;ROW()),收益表!$A$16:$U$10014,21,0)</f>
        <v>20</v>
      </c>
      <c r="T209" s="295"/>
      <c r="U209" s="296"/>
      <c r="V209" s="296"/>
      <c r="W209" s="297"/>
    </row>
    <row r="210" spans="1:23">
      <c r="A210" s="102">
        <v>45768</v>
      </c>
      <c r="B210" s="231" t="s">
        <v>254</v>
      </c>
      <c r="C210" s="231" t="s">
        <v>86</v>
      </c>
      <c r="D210" s="232">
        <v>0.0279</v>
      </c>
      <c r="E210" s="233">
        <v>-0.0761</v>
      </c>
      <c r="F210" s="234">
        <v>0.0088</v>
      </c>
      <c r="G210" s="216">
        <v>0.0248</v>
      </c>
      <c r="H210" s="216">
        <v>-0.0213</v>
      </c>
      <c r="I210" s="52"/>
      <c r="J210" s="52"/>
      <c r="K210" s="52"/>
      <c r="L210" s="53"/>
      <c r="Q210" s="206">
        <f ca="1" t="shared" si="18"/>
        <v>0.201754385964912</v>
      </c>
      <c r="R210" s="204">
        <f ca="1">VLOOKUP(INDIRECT("A"&amp;ROW()),收益表!$A$16:$U$10014,20,0)</f>
        <v>114</v>
      </c>
      <c r="S210" s="204">
        <f ca="1">VLOOKUP(INDIRECT("A"&amp;ROW()),收益表!$A$16:$U$10014,21,0)</f>
        <v>23</v>
      </c>
      <c r="T210" s="295"/>
      <c r="U210" s="296"/>
      <c r="V210" s="296"/>
      <c r="W210" s="297"/>
    </row>
    <row r="211" spans="1:23">
      <c r="A211" s="105"/>
      <c r="B211" s="231" t="s">
        <v>255</v>
      </c>
      <c r="C211" s="231" t="s">
        <v>86</v>
      </c>
      <c r="D211" s="378" t="s">
        <v>256</v>
      </c>
      <c r="E211" s="233">
        <v>-0.0989</v>
      </c>
      <c r="F211" s="234">
        <v>-0.0201</v>
      </c>
      <c r="G211" s="216">
        <v>0.0181</v>
      </c>
      <c r="H211" s="216">
        <v>-0.0154</v>
      </c>
      <c r="I211" s="74"/>
      <c r="J211" s="74"/>
      <c r="K211" s="74"/>
      <c r="L211" s="75"/>
      <c r="Q211" s="209"/>
      <c r="R211" s="193"/>
      <c r="S211" s="193"/>
      <c r="T211" s="295"/>
      <c r="U211" s="296"/>
      <c r="V211" s="296"/>
      <c r="W211" s="297"/>
    </row>
    <row r="212" spans="1:23">
      <c r="A212" s="105">
        <v>45769</v>
      </c>
      <c r="B212" s="72" t="s">
        <v>139</v>
      </c>
      <c r="C212" s="72" t="s">
        <v>98</v>
      </c>
      <c r="D212" s="42">
        <v>0.0403</v>
      </c>
      <c r="E212" s="174">
        <v>0.0403</v>
      </c>
      <c r="F212" s="234">
        <v>0.0497</v>
      </c>
      <c r="G212" s="216" t="s">
        <v>257</v>
      </c>
      <c r="H212" s="101" t="s">
        <v>89</v>
      </c>
      <c r="I212" s="35">
        <v>0.0403</v>
      </c>
      <c r="J212" s="35">
        <f>(1+I212)*J193</f>
        <v>1.47677766818623</v>
      </c>
      <c r="K212" s="33"/>
      <c r="L212" s="30"/>
      <c r="Q212" s="211">
        <f ca="1" t="shared" si="18"/>
        <v>0.258064516129032</v>
      </c>
      <c r="R212" s="198">
        <f ca="1">VLOOKUP(INDIRECT("A"&amp;ROW()),收益表!$A$16:$U$10014,20,0)</f>
        <v>93</v>
      </c>
      <c r="S212" s="198">
        <f ca="1">VLOOKUP(INDIRECT("A"&amp;ROW()),收益表!$A$16:$U$10014,21,0)</f>
        <v>24</v>
      </c>
      <c r="T212" s="295"/>
      <c r="U212" s="296"/>
      <c r="V212" s="296"/>
      <c r="W212" s="297"/>
    </row>
    <row r="213" spans="1:23">
      <c r="A213" s="103">
        <v>45770</v>
      </c>
      <c r="B213" s="68" t="s">
        <v>258</v>
      </c>
      <c r="C213" s="68" t="s">
        <v>98</v>
      </c>
      <c r="D213" s="69">
        <v>0.0215</v>
      </c>
      <c r="E213" s="177">
        <v>-0.0701</v>
      </c>
      <c r="F213" s="234">
        <v>-0.0075</v>
      </c>
      <c r="G213" s="35" t="s">
        <v>259</v>
      </c>
      <c r="H213" s="271">
        <v>-0.0911</v>
      </c>
      <c r="I213" s="101">
        <v>-0.0701</v>
      </c>
      <c r="J213" s="101">
        <f>(1+I213)*J212</f>
        <v>1.37325555364637</v>
      </c>
      <c r="K213" s="33"/>
      <c r="L213" s="30"/>
      <c r="Q213" s="206">
        <f ca="1" t="shared" si="18"/>
        <v>0.472222222222222</v>
      </c>
      <c r="R213" s="204">
        <f ca="1">VLOOKUP(INDIRECT("A"&amp;ROW()),收益表!$A$16:$U$10014,20,0)</f>
        <v>72</v>
      </c>
      <c r="S213" s="204">
        <f ca="1">VLOOKUP(INDIRECT("A"&amp;ROW()),收益表!$A$16:$U$10014,21,0)</f>
        <v>34</v>
      </c>
      <c r="T213" s="295"/>
      <c r="U213" s="296"/>
      <c r="V213" s="296"/>
      <c r="W213" s="297"/>
    </row>
    <row r="214" spans="1:23">
      <c r="A214" s="105"/>
      <c r="B214" s="165" t="s">
        <v>260</v>
      </c>
      <c r="C214" s="165" t="s">
        <v>88</v>
      </c>
      <c r="D214" s="166">
        <v>-0.0485</v>
      </c>
      <c r="E214" s="167">
        <v>-0.0089</v>
      </c>
      <c r="F214" s="234">
        <v>-0.0244</v>
      </c>
      <c r="G214" s="216">
        <v>-0.0009</v>
      </c>
      <c r="H214" s="35" t="s">
        <v>92</v>
      </c>
      <c r="I214" s="101"/>
      <c r="J214" s="101"/>
      <c r="K214" s="33"/>
      <c r="L214" s="30"/>
      <c r="Q214" s="209"/>
      <c r="R214" s="193"/>
      <c r="S214" s="193"/>
      <c r="T214" s="295"/>
      <c r="U214" s="296"/>
      <c r="V214" s="296"/>
      <c r="W214" s="297"/>
    </row>
    <row r="215" spans="1:23">
      <c r="A215" s="78">
        <v>45771</v>
      </c>
      <c r="B215" s="68"/>
      <c r="C215" s="68"/>
      <c r="D215" s="69"/>
      <c r="E215" s="164"/>
      <c r="F215" s="32"/>
      <c r="G215" s="33"/>
      <c r="H215" s="33"/>
      <c r="I215" s="101"/>
      <c r="J215" s="101"/>
      <c r="K215" s="33"/>
      <c r="L215" s="30"/>
      <c r="Q215" s="211">
        <f ca="1" t="shared" si="18"/>
        <v>0.546875</v>
      </c>
      <c r="R215" s="198">
        <f ca="1">VLOOKUP(INDIRECT("A"&amp;ROW()),收益表!$A$16:$U$10014,20,0)</f>
        <v>64</v>
      </c>
      <c r="S215" s="198">
        <f ca="1">VLOOKUP(INDIRECT("A"&amp;ROW()),收益表!$A$16:$U$10014,21,0)</f>
        <v>35</v>
      </c>
      <c r="T215" s="295"/>
      <c r="U215" s="296"/>
      <c r="V215" s="296"/>
      <c r="W215" s="297"/>
    </row>
    <row r="216" spans="1:23">
      <c r="A216" s="118">
        <v>45772</v>
      </c>
      <c r="B216" s="68" t="s">
        <v>261</v>
      </c>
      <c r="C216" s="68" t="s">
        <v>98</v>
      </c>
      <c r="D216" s="69">
        <v>0.0216</v>
      </c>
      <c r="E216" s="177">
        <v>-0.0515</v>
      </c>
      <c r="F216" s="41" t="s">
        <v>92</v>
      </c>
      <c r="G216" s="176">
        <v>0.0164</v>
      </c>
      <c r="H216" s="176">
        <v>0.0219</v>
      </c>
      <c r="I216" s="101">
        <v>-0.0515</v>
      </c>
      <c r="J216" s="101">
        <f>(1+I216)*J213</f>
        <v>1.30253289263359</v>
      </c>
      <c r="K216" s="33"/>
      <c r="L216" s="30"/>
      <c r="Q216" s="211">
        <f ca="1" t="shared" si="18"/>
        <v>0.447368421052632</v>
      </c>
      <c r="R216" s="198">
        <f ca="1">VLOOKUP(INDIRECT("A"&amp;ROW()),收益表!$A$16:$U$10014,20,0)</f>
        <v>76</v>
      </c>
      <c r="S216" s="198">
        <f ca="1">VLOOKUP(INDIRECT("A"&amp;ROW()),收益表!$A$16:$U$10014,21,0)</f>
        <v>34</v>
      </c>
      <c r="T216" s="295"/>
      <c r="U216" s="296"/>
      <c r="V216" s="296"/>
      <c r="W216" s="297"/>
    </row>
    <row r="217" spans="1:23">
      <c r="A217" s="105">
        <v>45775</v>
      </c>
      <c r="B217" s="165" t="s">
        <v>262</v>
      </c>
      <c r="C217" s="165" t="s">
        <v>88</v>
      </c>
      <c r="D217" s="166" t="s">
        <v>263</v>
      </c>
      <c r="E217" s="167" t="s">
        <v>89</v>
      </c>
      <c r="F217" s="175">
        <v>-0.0894</v>
      </c>
      <c r="G217" s="176">
        <v>0.0398</v>
      </c>
      <c r="H217" s="176">
        <v>-0.0364</v>
      </c>
      <c r="I217" s="122"/>
      <c r="J217" s="122"/>
      <c r="K217" s="74"/>
      <c r="L217" s="75"/>
      <c r="Q217" s="211">
        <f t="shared" ref="Q217:Q222" si="19">S217/R217</f>
        <v>1.58333333333333</v>
      </c>
      <c r="R217" s="193">
        <v>48</v>
      </c>
      <c r="S217" s="193">
        <v>76</v>
      </c>
      <c r="T217" s="295"/>
      <c r="U217" s="296"/>
      <c r="V217" s="296"/>
      <c r="W217" s="297"/>
    </row>
    <row r="218" spans="1:23">
      <c r="A218" s="78">
        <v>45776</v>
      </c>
      <c r="B218" s="14"/>
      <c r="C218" s="14"/>
      <c r="D218" s="30"/>
      <c r="E218" s="167"/>
      <c r="F218" s="175"/>
      <c r="G218" s="176"/>
      <c r="H218" s="176"/>
      <c r="I218" s="101"/>
      <c r="J218" s="101"/>
      <c r="K218" s="33"/>
      <c r="L218" s="30"/>
      <c r="Q218" s="211">
        <f t="shared" si="19"/>
        <v>0.780821917808219</v>
      </c>
      <c r="R218" s="19">
        <v>73</v>
      </c>
      <c r="S218" s="19">
        <v>57</v>
      </c>
      <c r="T218" s="295"/>
      <c r="U218" s="296"/>
      <c r="V218" s="296"/>
      <c r="W218" s="297"/>
    </row>
    <row r="219" spans="1:23">
      <c r="A219" s="118">
        <v>45777</v>
      </c>
      <c r="B219" s="14"/>
      <c r="C219" s="14"/>
      <c r="D219" s="30"/>
      <c r="E219" s="167"/>
      <c r="F219" s="175"/>
      <c r="G219" s="176"/>
      <c r="H219" s="176"/>
      <c r="I219" s="101"/>
      <c r="J219" s="101"/>
      <c r="K219" s="33"/>
      <c r="L219" s="30"/>
      <c r="Q219" s="211">
        <f t="shared" si="19"/>
        <v>0.402061855670103</v>
      </c>
      <c r="R219" s="19">
        <v>97</v>
      </c>
      <c r="S219" s="19">
        <v>39</v>
      </c>
      <c r="T219" s="295"/>
      <c r="U219" s="296"/>
      <c r="V219" s="296"/>
      <c r="W219" s="297"/>
    </row>
    <row r="220" spans="1:23">
      <c r="A220" s="272">
        <v>45783</v>
      </c>
      <c r="B220" s="165" t="s">
        <v>264</v>
      </c>
      <c r="C220" s="165" t="s">
        <v>88</v>
      </c>
      <c r="D220" s="379" t="s">
        <v>265</v>
      </c>
      <c r="E220" s="167">
        <v>-0.0685</v>
      </c>
      <c r="F220" s="268">
        <v>-0.0676</v>
      </c>
      <c r="G220" s="176">
        <v>0.0081</v>
      </c>
      <c r="H220" s="176">
        <v>-0.0112</v>
      </c>
      <c r="I220" s="101"/>
      <c r="J220" s="101"/>
      <c r="K220" s="33"/>
      <c r="L220" s="30"/>
      <c r="Q220" s="298">
        <f t="shared" si="19"/>
        <v>0.191489361702128</v>
      </c>
      <c r="R220" s="299">
        <v>141</v>
      </c>
      <c r="S220" s="299">
        <v>27</v>
      </c>
      <c r="T220" s="295"/>
      <c r="U220" s="296"/>
      <c r="V220" s="296"/>
      <c r="W220" s="297"/>
    </row>
    <row r="221" spans="1:23">
      <c r="A221" s="273"/>
      <c r="B221" s="165" t="s">
        <v>122</v>
      </c>
      <c r="C221" s="165" t="s">
        <v>88</v>
      </c>
      <c r="D221" s="166">
        <v>0.0005</v>
      </c>
      <c r="E221" s="167">
        <v>-0.0271</v>
      </c>
      <c r="F221" s="175">
        <v>0.0011</v>
      </c>
      <c r="G221" s="176">
        <v>-0.0326</v>
      </c>
      <c r="H221" s="176">
        <v>-0.0116</v>
      </c>
      <c r="I221" s="101"/>
      <c r="J221" s="101"/>
      <c r="K221" s="33"/>
      <c r="L221" s="30"/>
      <c r="Q221" s="300"/>
      <c r="R221" s="301"/>
      <c r="S221" s="301"/>
      <c r="T221" s="295"/>
      <c r="U221" s="296"/>
      <c r="V221" s="296"/>
      <c r="W221" s="297"/>
    </row>
    <row r="222" spans="1:23">
      <c r="A222" s="78">
        <v>45784</v>
      </c>
      <c r="B222" s="165" t="s">
        <v>266</v>
      </c>
      <c r="C222" s="165" t="s">
        <v>88</v>
      </c>
      <c r="D222" s="379" t="s">
        <v>267</v>
      </c>
      <c r="E222" s="167">
        <v>-0.0215</v>
      </c>
      <c r="F222" s="175">
        <v>0.044</v>
      </c>
      <c r="G222" s="176">
        <v>0.0194</v>
      </c>
      <c r="H222" s="176">
        <v>0.0493</v>
      </c>
      <c r="I222" s="101"/>
      <c r="J222" s="101"/>
      <c r="K222" s="33"/>
      <c r="L222" s="30"/>
      <c r="Q222" s="211">
        <f t="shared" si="19"/>
        <v>0.142857142857143</v>
      </c>
      <c r="R222" s="19">
        <v>98</v>
      </c>
      <c r="S222" s="19">
        <v>14</v>
      </c>
      <c r="T222" s="295"/>
      <c r="U222" s="296"/>
      <c r="V222" s="296"/>
      <c r="W222" s="297"/>
    </row>
    <row r="223" spans="1:23">
      <c r="A223" s="272">
        <v>45785</v>
      </c>
      <c r="B223" s="274" t="s">
        <v>268</v>
      </c>
      <c r="C223" s="68" t="s">
        <v>98</v>
      </c>
      <c r="D223" s="69">
        <v>0.0568</v>
      </c>
      <c r="E223" s="177">
        <v>-0.0797</v>
      </c>
      <c r="F223" s="41" t="s">
        <v>92</v>
      </c>
      <c r="G223" s="35" t="s">
        <v>92</v>
      </c>
      <c r="H223" s="176">
        <v>0.014</v>
      </c>
      <c r="I223" s="285">
        <v>-0.0797</v>
      </c>
      <c r="J223" s="285">
        <f>(1+I223)*J216</f>
        <v>1.19872102109069</v>
      </c>
      <c r="K223" s="286"/>
      <c r="L223" s="287"/>
      <c r="Q223" s="302">
        <f t="shared" ref="Q223:Q254" si="20">S223/R223</f>
        <v>0.087378640776699</v>
      </c>
      <c r="R223" s="299">
        <v>103</v>
      </c>
      <c r="S223" s="299">
        <v>9</v>
      </c>
      <c r="T223" s="295"/>
      <c r="U223" s="296"/>
      <c r="V223" s="296"/>
      <c r="W223" s="297"/>
    </row>
    <row r="224" spans="1:23">
      <c r="A224" s="275"/>
      <c r="B224" s="276" t="s">
        <v>269</v>
      </c>
      <c r="C224" s="231" t="s">
        <v>86</v>
      </c>
      <c r="D224" s="232" t="s">
        <v>89</v>
      </c>
      <c r="E224" s="233">
        <v>-0.0656</v>
      </c>
      <c r="F224" s="175">
        <v>0.068</v>
      </c>
      <c r="G224" s="176">
        <v>-0.0329</v>
      </c>
      <c r="H224" s="176">
        <v>-0.0085</v>
      </c>
      <c r="I224" s="288"/>
      <c r="J224" s="288"/>
      <c r="K224" s="289"/>
      <c r="L224" s="290"/>
      <c r="Q224" s="303"/>
      <c r="R224" s="304"/>
      <c r="S224" s="304"/>
      <c r="T224" s="295"/>
      <c r="U224" s="296"/>
      <c r="V224" s="296"/>
      <c r="W224" s="297"/>
    </row>
    <row r="225" spans="1:23">
      <c r="A225" s="273"/>
      <c r="B225" s="277" t="s">
        <v>270</v>
      </c>
      <c r="C225" s="165" t="s">
        <v>70</v>
      </c>
      <c r="D225" s="235">
        <v>-0.0653</v>
      </c>
      <c r="E225" s="167">
        <v>-0.0096</v>
      </c>
      <c r="F225" s="41" t="s">
        <v>92</v>
      </c>
      <c r="G225" s="176">
        <v>0.0393</v>
      </c>
      <c r="H225" s="176">
        <v>-0.0145</v>
      </c>
      <c r="I225" s="291"/>
      <c r="J225" s="291"/>
      <c r="K225" s="292"/>
      <c r="L225" s="293"/>
      <c r="Q225" s="305"/>
      <c r="R225" s="301"/>
      <c r="S225" s="301"/>
      <c r="T225" s="295"/>
      <c r="U225" s="296"/>
      <c r="V225" s="296"/>
      <c r="W225" s="297"/>
    </row>
    <row r="226" spans="1:23">
      <c r="A226" s="118">
        <v>45786</v>
      </c>
      <c r="B226" s="278"/>
      <c r="C226" s="14"/>
      <c r="D226" s="30"/>
      <c r="E226" s="167"/>
      <c r="F226" s="175"/>
      <c r="G226" s="176"/>
      <c r="H226" s="176"/>
      <c r="I226" s="33"/>
      <c r="J226" s="33"/>
      <c r="K226" s="33"/>
      <c r="L226" s="30"/>
      <c r="Q226" s="199">
        <f t="shared" si="20"/>
        <v>0.137931034482759</v>
      </c>
      <c r="R226" s="19">
        <v>58</v>
      </c>
      <c r="S226" s="19">
        <v>8</v>
      </c>
      <c r="T226" s="295"/>
      <c r="U226" s="296"/>
      <c r="V226" s="296"/>
      <c r="W226" s="297"/>
    </row>
    <row r="227" spans="1:23">
      <c r="A227" s="78">
        <v>45789</v>
      </c>
      <c r="B227" s="279" t="s">
        <v>271</v>
      </c>
      <c r="C227" s="72" t="s">
        <v>98</v>
      </c>
      <c r="D227" s="42">
        <v>-0.0521</v>
      </c>
      <c r="E227" s="174">
        <v>0.0498</v>
      </c>
      <c r="F227" s="175">
        <v>-0.0563</v>
      </c>
      <c r="G227" s="176">
        <v>-0.0555</v>
      </c>
      <c r="H227" s="176">
        <v>0.0089</v>
      </c>
      <c r="I227" s="35">
        <v>0.0498</v>
      </c>
      <c r="J227" s="35">
        <f>(1+I227)*J223</f>
        <v>1.25841732794101</v>
      </c>
      <c r="K227" s="33">
        <v>0.0498</v>
      </c>
      <c r="L227" s="30">
        <f>(1+K227)*L178</f>
        <v>3.57311390549472</v>
      </c>
      <c r="Q227" s="199">
        <f t="shared" si="20"/>
        <v>0.0340909090909091</v>
      </c>
      <c r="R227" s="19">
        <v>88</v>
      </c>
      <c r="S227" s="19">
        <v>3</v>
      </c>
      <c r="T227" s="295"/>
      <c r="U227" s="296"/>
      <c r="V227" s="296"/>
      <c r="W227" s="297"/>
    </row>
    <row r="228" spans="1:23">
      <c r="A228" s="78">
        <v>45790</v>
      </c>
      <c r="B228" s="14"/>
      <c r="C228" s="14"/>
      <c r="D228" s="30"/>
      <c r="E228" s="167"/>
      <c r="F228" s="175"/>
      <c r="G228" s="176"/>
      <c r="H228" s="176"/>
      <c r="I228" s="33"/>
      <c r="J228" s="33"/>
      <c r="K228" s="33"/>
      <c r="L228" s="30"/>
      <c r="Q228" s="211">
        <f t="shared" si="20"/>
        <v>0.2</v>
      </c>
      <c r="R228" s="19">
        <v>70</v>
      </c>
      <c r="S228" s="19">
        <v>14</v>
      </c>
      <c r="T228" s="295"/>
      <c r="U228" s="296"/>
      <c r="V228" s="296"/>
      <c r="W228" s="297"/>
    </row>
    <row r="229" spans="1:23">
      <c r="A229" s="78">
        <v>45791</v>
      </c>
      <c r="B229" s="14"/>
      <c r="C229" s="14"/>
      <c r="D229" s="30"/>
      <c r="E229" s="167"/>
      <c r="F229" s="175"/>
      <c r="G229" s="176"/>
      <c r="H229" s="176"/>
      <c r="I229" s="33"/>
      <c r="J229" s="33"/>
      <c r="K229" s="33"/>
      <c r="L229" s="30"/>
      <c r="Q229" s="199">
        <f t="shared" si="20"/>
        <v>0.102272727272727</v>
      </c>
      <c r="R229" s="19">
        <v>88</v>
      </c>
      <c r="S229" s="19">
        <v>9</v>
      </c>
      <c r="T229" s="295"/>
      <c r="U229" s="296"/>
      <c r="V229" s="296"/>
      <c r="W229" s="297"/>
    </row>
    <row r="230" spans="1:23">
      <c r="A230" s="272">
        <v>45792</v>
      </c>
      <c r="B230" s="165" t="s">
        <v>272</v>
      </c>
      <c r="C230" s="165" t="s">
        <v>88</v>
      </c>
      <c r="D230" s="235">
        <v>-0.0066</v>
      </c>
      <c r="E230" s="167">
        <v>-0.0332</v>
      </c>
      <c r="F230" s="280">
        <v>-0.34</v>
      </c>
      <c r="G230" s="176">
        <v>-0.0414</v>
      </c>
      <c r="H230" s="176">
        <v>0.0216</v>
      </c>
      <c r="I230" s="101"/>
      <c r="J230" s="101"/>
      <c r="K230" s="33"/>
      <c r="L230" s="30"/>
      <c r="Q230" s="302">
        <f t="shared" si="20"/>
        <v>0.0133333333333333</v>
      </c>
      <c r="R230" s="299">
        <v>75</v>
      </c>
      <c r="S230" s="299">
        <v>1</v>
      </c>
      <c r="T230" s="295"/>
      <c r="U230" s="296"/>
      <c r="V230" s="296"/>
      <c r="W230" s="297"/>
    </row>
    <row r="231" spans="1:23">
      <c r="A231" s="273"/>
      <c r="B231" s="165" t="s">
        <v>242</v>
      </c>
      <c r="C231" s="165" t="s">
        <v>88</v>
      </c>
      <c r="D231" s="166">
        <v>-0.0759</v>
      </c>
      <c r="E231" s="167" t="s">
        <v>92</v>
      </c>
      <c r="F231" s="41" t="s">
        <v>92</v>
      </c>
      <c r="G231" s="176">
        <v>0.0355</v>
      </c>
      <c r="H231" s="380" t="s">
        <v>273</v>
      </c>
      <c r="I231" s="101"/>
      <c r="J231" s="101"/>
      <c r="K231" s="33"/>
      <c r="L231" s="30"/>
      <c r="Q231" s="305"/>
      <c r="R231" s="301"/>
      <c r="S231" s="301"/>
      <c r="T231" s="295"/>
      <c r="U231" s="296"/>
      <c r="V231" s="296"/>
      <c r="W231" s="297"/>
    </row>
    <row r="232" spans="1:23">
      <c r="A232" s="118">
        <v>45793</v>
      </c>
      <c r="B232" s="68" t="s">
        <v>274</v>
      </c>
      <c r="C232" s="68" t="s">
        <v>98</v>
      </c>
      <c r="D232" s="69">
        <v>-0.0647</v>
      </c>
      <c r="E232" s="177">
        <v>-0.0315</v>
      </c>
      <c r="F232" s="175">
        <v>-0.0163</v>
      </c>
      <c r="G232" s="176">
        <v>-0.0165</v>
      </c>
      <c r="H232" s="176">
        <v>-0.0058</v>
      </c>
      <c r="I232" s="101">
        <v>-0.0315</v>
      </c>
      <c r="J232" s="101">
        <f>(1+I232)*J227</f>
        <v>1.21877718211086</v>
      </c>
      <c r="K232" s="33"/>
      <c r="L232" s="30"/>
      <c r="Q232" s="211">
        <f t="shared" si="20"/>
        <v>0.161764705882353</v>
      </c>
      <c r="R232" s="19">
        <v>68</v>
      </c>
      <c r="S232" s="19">
        <v>11</v>
      </c>
      <c r="T232" s="295"/>
      <c r="U232" s="296"/>
      <c r="V232" s="296"/>
      <c r="W232" s="297"/>
    </row>
    <row r="233" spans="1:23">
      <c r="A233" s="78">
        <v>45796</v>
      </c>
      <c r="B233" s="14"/>
      <c r="C233" s="14"/>
      <c r="D233" s="30"/>
      <c r="E233" s="167"/>
      <c r="F233" s="175"/>
      <c r="G233" s="176"/>
      <c r="H233" s="176"/>
      <c r="I233" s="101"/>
      <c r="J233" s="101"/>
      <c r="K233" s="33"/>
      <c r="L233" s="30"/>
      <c r="Q233" s="199">
        <f t="shared" si="20"/>
        <v>0</v>
      </c>
      <c r="R233" s="19">
        <v>120</v>
      </c>
      <c r="S233" s="19">
        <v>0</v>
      </c>
      <c r="T233" s="295"/>
      <c r="U233" s="296"/>
      <c r="V233" s="296"/>
      <c r="W233" s="297"/>
    </row>
    <row r="234" spans="1:23">
      <c r="A234" s="272">
        <v>45797</v>
      </c>
      <c r="B234" s="45" t="s">
        <v>275</v>
      </c>
      <c r="C234" s="45" t="s">
        <v>91</v>
      </c>
      <c r="D234" s="46">
        <v>-0.0482</v>
      </c>
      <c r="E234" s="180" t="s">
        <v>89</v>
      </c>
      <c r="F234" s="175">
        <v>-0.0639</v>
      </c>
      <c r="G234" s="281">
        <v>-0.0321</v>
      </c>
      <c r="H234" s="176">
        <v>-0.029</v>
      </c>
      <c r="I234" s="101">
        <v>-0.1</v>
      </c>
      <c r="J234" s="101">
        <f>(1+I234)*J232</f>
        <v>1.09689946389978</v>
      </c>
      <c r="K234" s="33">
        <v>-0.1</v>
      </c>
      <c r="L234" s="30">
        <f>(1+K234)*L227</f>
        <v>3.21580251494525</v>
      </c>
      <c r="Q234" s="302">
        <f t="shared" si="20"/>
        <v>0.0909090909090909</v>
      </c>
      <c r="R234" s="299">
        <v>99</v>
      </c>
      <c r="S234" s="299">
        <v>9</v>
      </c>
      <c r="T234" s="295"/>
      <c r="U234" s="296"/>
      <c r="V234" s="296"/>
      <c r="W234" s="297"/>
    </row>
    <row r="235" spans="1:23">
      <c r="A235" s="273"/>
      <c r="B235" s="165" t="s">
        <v>242</v>
      </c>
      <c r="C235" s="165" t="s">
        <v>88</v>
      </c>
      <c r="D235" s="166">
        <v>-0.0355</v>
      </c>
      <c r="E235" s="381" t="s">
        <v>273</v>
      </c>
      <c r="F235" s="65" t="s">
        <v>89</v>
      </c>
      <c r="G235" s="176">
        <v>0.0303</v>
      </c>
      <c r="H235" s="176">
        <v>0.099</v>
      </c>
      <c r="I235" s="101"/>
      <c r="J235" s="101"/>
      <c r="K235" s="33"/>
      <c r="L235" s="30"/>
      <c r="Q235" s="305"/>
      <c r="R235" s="301"/>
      <c r="S235" s="301"/>
      <c r="T235" s="295"/>
      <c r="U235" s="296"/>
      <c r="V235" s="296"/>
      <c r="W235" s="297"/>
    </row>
    <row r="236" spans="1:23">
      <c r="A236" s="78">
        <v>45798</v>
      </c>
      <c r="B236" s="231" t="s">
        <v>276</v>
      </c>
      <c r="C236" s="231" t="s">
        <v>86</v>
      </c>
      <c r="D236" s="232">
        <v>0.0119</v>
      </c>
      <c r="E236" s="233" t="s">
        <v>89</v>
      </c>
      <c r="F236" s="175">
        <v>-0.0758</v>
      </c>
      <c r="G236" s="176">
        <v>0.0304</v>
      </c>
      <c r="H236" s="176">
        <v>0.0068</v>
      </c>
      <c r="I236" s="101"/>
      <c r="J236" s="101"/>
      <c r="K236" s="33"/>
      <c r="L236" s="30"/>
      <c r="Q236" s="199">
        <f t="shared" si="20"/>
        <v>0.036144578313253</v>
      </c>
      <c r="R236" s="19">
        <v>83</v>
      </c>
      <c r="S236" s="19">
        <v>3</v>
      </c>
      <c r="T236" s="295"/>
      <c r="U236" s="296"/>
      <c r="V236" s="296"/>
      <c r="W236" s="297"/>
    </row>
    <row r="237" spans="1:23">
      <c r="A237" s="78">
        <v>45799</v>
      </c>
      <c r="B237" s="14"/>
      <c r="C237" s="14"/>
      <c r="D237" s="30"/>
      <c r="E237" s="167"/>
      <c r="F237" s="175"/>
      <c r="G237" s="176"/>
      <c r="H237" s="176"/>
      <c r="I237" s="101"/>
      <c r="J237" s="101"/>
      <c r="K237" s="33"/>
      <c r="L237" s="30"/>
      <c r="Q237" s="211">
        <f t="shared" si="20"/>
        <v>0.34</v>
      </c>
      <c r="R237" s="19">
        <v>50</v>
      </c>
      <c r="S237" s="19">
        <v>17</v>
      </c>
      <c r="T237" s="295"/>
      <c r="U237" s="296"/>
      <c r="V237" s="296"/>
      <c r="W237" s="297"/>
    </row>
    <row r="238" spans="1:23">
      <c r="A238" s="118">
        <v>45800</v>
      </c>
      <c r="B238" s="68" t="s">
        <v>277</v>
      </c>
      <c r="C238" s="68" t="s">
        <v>70</v>
      </c>
      <c r="D238" s="69">
        <v>-0.0129</v>
      </c>
      <c r="E238" s="177">
        <v>-0.0521</v>
      </c>
      <c r="F238" s="175">
        <v>-0.0292</v>
      </c>
      <c r="G238" s="176">
        <v>-0.0602</v>
      </c>
      <c r="H238" s="176">
        <v>-0.0075</v>
      </c>
      <c r="I238" s="101">
        <v>-0.0521</v>
      </c>
      <c r="J238" s="101">
        <f>(1+I238)*J234</f>
        <v>1.0397510018306</v>
      </c>
      <c r="K238" s="33"/>
      <c r="L238" s="30"/>
      <c r="Q238" s="211">
        <f t="shared" si="20"/>
        <v>0.392156862745098</v>
      </c>
      <c r="R238" s="19">
        <v>51</v>
      </c>
      <c r="S238" s="19">
        <v>20</v>
      </c>
      <c r="T238" s="295"/>
      <c r="U238" s="296"/>
      <c r="V238" s="296"/>
      <c r="W238" s="297"/>
    </row>
    <row r="239" spans="1:23">
      <c r="A239" s="78">
        <v>45803</v>
      </c>
      <c r="B239" s="68" t="s">
        <v>278</v>
      </c>
      <c r="C239" s="68" t="s">
        <v>98</v>
      </c>
      <c r="D239" s="69" t="s">
        <v>279</v>
      </c>
      <c r="E239" s="177">
        <v>-0.0721</v>
      </c>
      <c r="F239" s="175">
        <v>-0.0748</v>
      </c>
      <c r="G239" s="176">
        <v>0.0181</v>
      </c>
      <c r="H239" s="176">
        <v>-0.0208</v>
      </c>
      <c r="I239" s="101">
        <v>-0.0721</v>
      </c>
      <c r="J239" s="101">
        <f>(1+I239)*J238</f>
        <v>0.964784954598613</v>
      </c>
      <c r="K239" s="33"/>
      <c r="L239" s="30"/>
      <c r="Q239" s="199">
        <f t="shared" si="20"/>
        <v>0.0476190476190476</v>
      </c>
      <c r="R239" s="19">
        <v>84</v>
      </c>
      <c r="S239" s="19">
        <v>4</v>
      </c>
      <c r="T239" s="295"/>
      <c r="U239" s="296"/>
      <c r="V239" s="296"/>
      <c r="W239" s="297"/>
    </row>
    <row r="240" spans="1:23">
      <c r="A240" s="78">
        <v>45804</v>
      </c>
      <c r="B240" s="165" t="s">
        <v>280</v>
      </c>
      <c r="C240" s="165" t="s">
        <v>88</v>
      </c>
      <c r="D240" s="235">
        <v>0.0609</v>
      </c>
      <c r="E240" s="282">
        <v>-0.075</v>
      </c>
      <c r="F240" s="175">
        <v>-0.0155</v>
      </c>
      <c r="G240" s="176">
        <v>-0.0403</v>
      </c>
      <c r="H240" s="35" t="s">
        <v>92</v>
      </c>
      <c r="I240" s="101"/>
      <c r="J240" s="101"/>
      <c r="K240" s="33"/>
      <c r="L240" s="30"/>
      <c r="Q240" s="199">
        <f t="shared" si="20"/>
        <v>0.0526315789473684</v>
      </c>
      <c r="R240" s="19">
        <v>95</v>
      </c>
      <c r="S240" s="19">
        <v>5</v>
      </c>
      <c r="T240" s="295"/>
      <c r="U240" s="296"/>
      <c r="V240" s="296"/>
      <c r="W240" s="297"/>
    </row>
    <row r="241" spans="1:23">
      <c r="A241" s="78">
        <v>45805</v>
      </c>
      <c r="B241" s="14"/>
      <c r="C241" s="14"/>
      <c r="D241" s="30"/>
      <c r="E241" s="167"/>
      <c r="F241" s="175"/>
      <c r="G241" s="176"/>
      <c r="H241" s="176"/>
      <c r="I241" s="101"/>
      <c r="J241" s="101"/>
      <c r="K241" s="33"/>
      <c r="L241" s="30"/>
      <c r="Q241" s="199">
        <f t="shared" si="20"/>
        <v>0.12</v>
      </c>
      <c r="R241" s="19">
        <v>75</v>
      </c>
      <c r="S241" s="19">
        <v>9</v>
      </c>
      <c r="T241" s="295"/>
      <c r="U241" s="296"/>
      <c r="V241" s="296"/>
      <c r="W241" s="297"/>
    </row>
    <row r="242" spans="1:23">
      <c r="A242" s="78">
        <v>45806</v>
      </c>
      <c r="B242" s="14"/>
      <c r="C242" s="14"/>
      <c r="D242" s="30"/>
      <c r="E242" s="167"/>
      <c r="F242" s="175"/>
      <c r="G242" s="176"/>
      <c r="H242" s="176"/>
      <c r="I242" s="101"/>
      <c r="J242" s="101"/>
      <c r="K242" s="33"/>
      <c r="L242" s="30"/>
      <c r="Q242" s="199">
        <f t="shared" si="20"/>
        <v>0.127118644067797</v>
      </c>
      <c r="R242" s="19">
        <v>118</v>
      </c>
      <c r="S242" s="19">
        <v>15</v>
      </c>
      <c r="T242" s="295"/>
      <c r="U242" s="296"/>
      <c r="V242" s="296"/>
      <c r="W242" s="297"/>
    </row>
    <row r="243" spans="1:23">
      <c r="A243" s="283">
        <v>45807</v>
      </c>
      <c r="B243" s="45" t="s">
        <v>281</v>
      </c>
      <c r="C243" s="45" t="s">
        <v>98</v>
      </c>
      <c r="D243" s="46" t="s">
        <v>282</v>
      </c>
      <c r="E243" s="180" t="s">
        <v>89</v>
      </c>
      <c r="F243" s="41" t="s">
        <v>92</v>
      </c>
      <c r="G243" s="176">
        <v>-0.095</v>
      </c>
      <c r="H243" s="176">
        <v>-0.0137</v>
      </c>
      <c r="I243" s="285">
        <v>-0.1</v>
      </c>
      <c r="J243" s="285">
        <f>(1+I243)*J239</f>
        <v>0.868306459138752</v>
      </c>
      <c r="K243" s="33"/>
      <c r="L243" s="30"/>
      <c r="Q243" s="298">
        <f t="shared" si="20"/>
        <v>0.365384615384615</v>
      </c>
      <c r="R243" s="299">
        <v>52</v>
      </c>
      <c r="S243" s="299">
        <v>19</v>
      </c>
      <c r="T243" s="295"/>
      <c r="U243" s="296"/>
      <c r="V243" s="296"/>
      <c r="W243" s="297"/>
    </row>
    <row r="244" spans="1:23">
      <c r="A244" s="284"/>
      <c r="B244" s="165" t="s">
        <v>283</v>
      </c>
      <c r="C244" s="165" t="s">
        <v>88</v>
      </c>
      <c r="D244" s="166">
        <v>0.0413</v>
      </c>
      <c r="E244" s="167">
        <v>-0.0578</v>
      </c>
      <c r="F244" s="175">
        <v>-0.0604</v>
      </c>
      <c r="G244" s="176">
        <v>0.005</v>
      </c>
      <c r="H244" s="176">
        <v>-0.0634</v>
      </c>
      <c r="I244" s="291"/>
      <c r="J244" s="291"/>
      <c r="K244" s="33"/>
      <c r="L244" s="30"/>
      <c r="Q244" s="300"/>
      <c r="R244" s="301"/>
      <c r="S244" s="301"/>
      <c r="T244" s="295"/>
      <c r="U244" s="296"/>
      <c r="V244" s="296"/>
      <c r="W244" s="297"/>
    </row>
    <row r="245" spans="1:23">
      <c r="A245" s="78">
        <v>45811</v>
      </c>
      <c r="B245" s="165"/>
      <c r="C245" s="165"/>
      <c r="D245" s="166"/>
      <c r="E245" s="167"/>
      <c r="F245" s="175"/>
      <c r="G245" s="176"/>
      <c r="H245" s="176"/>
      <c r="I245" s="101"/>
      <c r="J245" s="101"/>
      <c r="K245" s="33"/>
      <c r="L245" s="30"/>
      <c r="Q245" s="211">
        <f t="shared" si="20"/>
        <v>0.148148148148148</v>
      </c>
      <c r="R245" s="19">
        <v>81</v>
      </c>
      <c r="S245" s="19">
        <v>12</v>
      </c>
      <c r="T245" s="295"/>
      <c r="U245" s="296"/>
      <c r="V245" s="296"/>
      <c r="W245" s="297"/>
    </row>
    <row r="246" spans="1:23">
      <c r="A246" s="272">
        <v>45812</v>
      </c>
      <c r="B246" s="165" t="s">
        <v>284</v>
      </c>
      <c r="C246" s="165" t="s">
        <v>88</v>
      </c>
      <c r="D246" s="166" t="s">
        <v>285</v>
      </c>
      <c r="E246" s="167">
        <v>-0.0885</v>
      </c>
      <c r="F246" s="175">
        <v>0.0324</v>
      </c>
      <c r="G246" s="176">
        <v>0.0209</v>
      </c>
      <c r="H246" s="176">
        <v>-0.0219</v>
      </c>
      <c r="I246" s="101"/>
      <c r="J246" s="101"/>
      <c r="K246" s="33"/>
      <c r="L246" s="30"/>
      <c r="Q246" s="302">
        <f t="shared" si="20"/>
        <v>0.0232558139534884</v>
      </c>
      <c r="R246" s="299">
        <v>86</v>
      </c>
      <c r="S246" s="299">
        <v>2</v>
      </c>
      <c r="T246" s="295"/>
      <c r="U246" s="296"/>
      <c r="V246" s="296"/>
      <c r="W246" s="297"/>
    </row>
    <row r="247" spans="1:23">
      <c r="A247" s="273"/>
      <c r="B247" s="68" t="s">
        <v>286</v>
      </c>
      <c r="C247" s="68" t="s">
        <v>91</v>
      </c>
      <c r="D247" s="69" t="s">
        <v>89</v>
      </c>
      <c r="E247" s="177">
        <v>-0.0812</v>
      </c>
      <c r="F247" s="175">
        <v>-0.01</v>
      </c>
      <c r="G247" s="176">
        <v>-0.0029</v>
      </c>
      <c r="H247" s="176">
        <v>-0.0209</v>
      </c>
      <c r="I247" s="101"/>
      <c r="J247" s="101"/>
      <c r="K247" s="33"/>
      <c r="L247" s="30"/>
      <c r="Q247" s="305"/>
      <c r="R247" s="301"/>
      <c r="S247" s="301"/>
      <c r="T247" s="295"/>
      <c r="U247" s="296"/>
      <c r="V247" s="296"/>
      <c r="W247" s="297"/>
    </row>
    <row r="248" spans="1:23">
      <c r="A248" s="272">
        <v>45813</v>
      </c>
      <c r="B248" s="68" t="s">
        <v>287</v>
      </c>
      <c r="C248" s="68" t="s">
        <v>70</v>
      </c>
      <c r="D248" s="69">
        <v>0.0344</v>
      </c>
      <c r="E248" s="177">
        <v>-0.0107</v>
      </c>
      <c r="F248" s="175" t="s">
        <v>288</v>
      </c>
      <c r="G248" s="176">
        <v>-0.0881</v>
      </c>
      <c r="H248" s="176">
        <v>-0.0389</v>
      </c>
      <c r="I248" s="285">
        <v>-0.1</v>
      </c>
      <c r="J248" s="285">
        <f>(1+I248)*J243</f>
        <v>0.781475813224877</v>
      </c>
      <c r="K248" s="286"/>
      <c r="L248" s="287"/>
      <c r="Q248" s="298">
        <f t="shared" si="20"/>
        <v>0.16</v>
      </c>
      <c r="R248" s="299">
        <v>75</v>
      </c>
      <c r="S248" s="299">
        <v>12</v>
      </c>
      <c r="T248" s="295"/>
      <c r="U248" s="296"/>
      <c r="V248" s="296"/>
      <c r="W248" s="297"/>
    </row>
    <row r="249" spans="1:23">
      <c r="A249" s="273"/>
      <c r="B249" s="45" t="s">
        <v>289</v>
      </c>
      <c r="C249" s="45" t="s">
        <v>98</v>
      </c>
      <c r="D249" s="382" t="s">
        <v>290</v>
      </c>
      <c r="E249" s="180" t="s">
        <v>89</v>
      </c>
      <c r="F249" s="175">
        <v>-0.0379</v>
      </c>
      <c r="G249" s="176">
        <v>-0.0404</v>
      </c>
      <c r="H249" s="176">
        <v>0.0128</v>
      </c>
      <c r="I249" s="291"/>
      <c r="J249" s="291"/>
      <c r="K249" s="292"/>
      <c r="L249" s="293"/>
      <c r="Q249" s="300"/>
      <c r="R249" s="301"/>
      <c r="S249" s="301"/>
      <c r="T249" s="295"/>
      <c r="U249" s="296"/>
      <c r="V249" s="296"/>
      <c r="W249" s="297"/>
    </row>
    <row r="250" spans="1:23">
      <c r="A250" s="118">
        <v>45814</v>
      </c>
      <c r="B250" s="14"/>
      <c r="C250" s="14"/>
      <c r="D250" s="30"/>
      <c r="E250" s="167"/>
      <c r="F250" s="175"/>
      <c r="G250" s="176"/>
      <c r="H250" s="176"/>
      <c r="I250" s="101"/>
      <c r="J250" s="101"/>
      <c r="K250" s="33"/>
      <c r="L250" s="30"/>
      <c r="Q250" s="199">
        <f t="shared" si="20"/>
        <v>0.0769230769230769</v>
      </c>
      <c r="R250" s="19">
        <v>65</v>
      </c>
      <c r="S250" s="19">
        <v>5</v>
      </c>
      <c r="T250" s="295"/>
      <c r="U250" s="296"/>
      <c r="V250" s="296"/>
      <c r="W250" s="297"/>
    </row>
    <row r="251" spans="1:23">
      <c r="A251" s="78">
        <v>45817</v>
      </c>
      <c r="B251" s="14"/>
      <c r="C251" s="14"/>
      <c r="D251" s="30"/>
      <c r="E251" s="167"/>
      <c r="F251" s="175"/>
      <c r="G251" s="176"/>
      <c r="H251" s="176"/>
      <c r="I251" s="33"/>
      <c r="J251" s="33"/>
      <c r="K251" s="33"/>
      <c r="L251" s="30"/>
      <c r="Q251" s="199">
        <f t="shared" si="20"/>
        <v>0.0348837209302326</v>
      </c>
      <c r="R251" s="19">
        <v>86</v>
      </c>
      <c r="S251" s="19">
        <v>3</v>
      </c>
      <c r="T251" s="295"/>
      <c r="U251" s="296"/>
      <c r="V251" s="296"/>
      <c r="W251" s="297"/>
    </row>
    <row r="252" spans="1:23">
      <c r="A252" s="78">
        <v>45818</v>
      </c>
      <c r="B252" s="38" t="s">
        <v>291</v>
      </c>
      <c r="C252" s="38" t="s">
        <v>98</v>
      </c>
      <c r="D252" s="39">
        <v>0.0181</v>
      </c>
      <c r="E252" s="178" t="s">
        <v>92</v>
      </c>
      <c r="F252" s="175">
        <v>-0.0146</v>
      </c>
      <c r="G252" s="176">
        <v>-0.0973</v>
      </c>
      <c r="H252" s="176">
        <v>0.048</v>
      </c>
      <c r="I252" s="35">
        <v>0.1</v>
      </c>
      <c r="J252" s="35">
        <f>(1+I252)*J248</f>
        <v>0.859623394547365</v>
      </c>
      <c r="K252" s="33">
        <v>0.1</v>
      </c>
      <c r="L252" s="30">
        <f>(1+K252)*L234</f>
        <v>3.53738276643978</v>
      </c>
      <c r="Q252" s="199">
        <f t="shared" si="20"/>
        <v>0.0338983050847458</v>
      </c>
      <c r="R252" s="19">
        <v>59</v>
      </c>
      <c r="S252" s="19">
        <v>2</v>
      </c>
      <c r="T252" s="295"/>
      <c r="U252" s="296"/>
      <c r="V252" s="296"/>
      <c r="W252" s="297"/>
    </row>
    <row r="253" spans="1:23">
      <c r="A253" s="78">
        <v>45819</v>
      </c>
      <c r="B253" s="68" t="s">
        <v>292</v>
      </c>
      <c r="C253" s="68" t="s">
        <v>98</v>
      </c>
      <c r="D253" s="69">
        <v>-0.0133</v>
      </c>
      <c r="E253" s="177">
        <v>-0.071</v>
      </c>
      <c r="F253" s="175">
        <v>-0.0424</v>
      </c>
      <c r="G253" s="176">
        <v>-0.0052</v>
      </c>
      <c r="H253" s="176">
        <v>0.0105</v>
      </c>
      <c r="I253" s="101">
        <v>-0.071</v>
      </c>
      <c r="J253" s="101">
        <f>(1+I253)*J252</f>
        <v>0.798590133534502</v>
      </c>
      <c r="K253" s="33">
        <v>-0.071</v>
      </c>
      <c r="L253" s="30">
        <f>(1+K253)*L252</f>
        <v>3.28622859002255</v>
      </c>
      <c r="Q253" s="199">
        <f t="shared" si="20"/>
        <v>0.0845070422535211</v>
      </c>
      <c r="R253" s="19">
        <v>71</v>
      </c>
      <c r="S253" s="19">
        <v>6</v>
      </c>
      <c r="T253" s="295"/>
      <c r="U253" s="296"/>
      <c r="V253" s="296"/>
      <c r="W253" s="297"/>
    </row>
    <row r="254" spans="1:23">
      <c r="A254" s="78">
        <v>45820</v>
      </c>
      <c r="B254" s="68" t="s">
        <v>293</v>
      </c>
      <c r="C254" s="68" t="s">
        <v>98</v>
      </c>
      <c r="D254" s="69">
        <v>-0.0671</v>
      </c>
      <c r="E254" s="177">
        <v>-0.08</v>
      </c>
      <c r="F254" s="175">
        <v>-0.0401</v>
      </c>
      <c r="G254" s="176">
        <v>-0.0163</v>
      </c>
      <c r="H254" s="176">
        <v>-0.0135</v>
      </c>
      <c r="I254" s="101">
        <v>-0.08</v>
      </c>
      <c r="J254" s="101">
        <f>(1+I254)*J253</f>
        <v>0.734702922851742</v>
      </c>
      <c r="K254" s="33">
        <v>-0.08</v>
      </c>
      <c r="L254" s="30">
        <f>(1+K254)*L253</f>
        <v>3.02333030282075</v>
      </c>
      <c r="Q254" s="199">
        <f t="shared" si="20"/>
        <v>0.0684931506849315</v>
      </c>
      <c r="R254" s="19">
        <v>73</v>
      </c>
      <c r="S254" s="19">
        <v>5</v>
      </c>
      <c r="T254" s="295"/>
      <c r="U254" s="296"/>
      <c r="V254" s="296"/>
      <c r="W254" s="297"/>
    </row>
    <row r="255" spans="1:23">
      <c r="A255" s="118">
        <v>45821</v>
      </c>
      <c r="B255" s="72" t="s">
        <v>294</v>
      </c>
      <c r="C255" s="72" t="s">
        <v>98</v>
      </c>
      <c r="D255" s="42">
        <v>-0.0557</v>
      </c>
      <c r="E255" s="174">
        <v>0.027</v>
      </c>
      <c r="F255" s="175">
        <v>-0.0478</v>
      </c>
      <c r="G255" s="176">
        <v>-0.0314</v>
      </c>
      <c r="H255" s="176">
        <v>-0.0311</v>
      </c>
      <c r="I255" s="35">
        <v>0.027</v>
      </c>
      <c r="J255" s="35">
        <f>(1+I255)*J254</f>
        <v>0.754539901768739</v>
      </c>
      <c r="K255" s="33"/>
      <c r="L255" s="30"/>
      <c r="Q255" s="211">
        <f t="shared" ref="Q255:Q274" si="21">S255/R255</f>
        <v>0.241935483870968</v>
      </c>
      <c r="R255" s="19">
        <v>62</v>
      </c>
      <c r="S255" s="19">
        <v>15</v>
      </c>
      <c r="T255" s="295"/>
      <c r="U255" s="296"/>
      <c r="V255" s="296"/>
      <c r="W255" s="297"/>
    </row>
    <row r="256" spans="1:23">
      <c r="A256" s="272">
        <v>45824</v>
      </c>
      <c r="B256" s="72" t="s">
        <v>295</v>
      </c>
      <c r="C256" s="72" t="s">
        <v>98</v>
      </c>
      <c r="D256" s="42">
        <v>0.0319</v>
      </c>
      <c r="E256" s="174">
        <v>0.0295</v>
      </c>
      <c r="F256" s="175" t="s">
        <v>296</v>
      </c>
      <c r="G256" s="176">
        <v>0.0186</v>
      </c>
      <c r="H256" s="35" t="s">
        <v>92</v>
      </c>
      <c r="I256" s="294">
        <v>0.0295</v>
      </c>
      <c r="J256" s="294">
        <f>(1+I256)*J255</f>
        <v>0.776798828870916</v>
      </c>
      <c r="K256" s="286">
        <v>0.0295</v>
      </c>
      <c r="L256" s="287">
        <f>(1+K256)*L254</f>
        <v>3.11251854675396</v>
      </c>
      <c r="Q256" s="302">
        <f t="shared" si="21"/>
        <v>0.0821917808219178</v>
      </c>
      <c r="R256" s="299">
        <v>73</v>
      </c>
      <c r="S256" s="299">
        <v>6</v>
      </c>
      <c r="T256" s="295"/>
      <c r="U256" s="296"/>
      <c r="V256" s="296"/>
      <c r="W256" s="297"/>
    </row>
    <row r="257" spans="1:23">
      <c r="A257" s="273"/>
      <c r="B257" s="165" t="s">
        <v>297</v>
      </c>
      <c r="C257" s="165" t="s">
        <v>88</v>
      </c>
      <c r="D257" s="379" t="s">
        <v>298</v>
      </c>
      <c r="E257" s="167">
        <v>-0.0499</v>
      </c>
      <c r="F257" s="41" t="s">
        <v>92</v>
      </c>
      <c r="G257" s="101" t="s">
        <v>89</v>
      </c>
      <c r="H257" s="176">
        <v>0.0574</v>
      </c>
      <c r="I257" s="307"/>
      <c r="J257" s="307"/>
      <c r="K257" s="292"/>
      <c r="L257" s="293"/>
      <c r="Q257" s="305"/>
      <c r="R257" s="301"/>
      <c r="S257" s="301"/>
      <c r="T257" s="295"/>
      <c r="U257" s="296"/>
      <c r="V257" s="296"/>
      <c r="W257" s="297"/>
    </row>
    <row r="258" spans="1:23">
      <c r="A258" s="78">
        <v>45825</v>
      </c>
      <c r="B258" s="165" t="s">
        <v>299</v>
      </c>
      <c r="C258" s="165" t="s">
        <v>88</v>
      </c>
      <c r="D258" s="166">
        <v>-0.0862</v>
      </c>
      <c r="E258" s="167">
        <v>-0.0095</v>
      </c>
      <c r="F258" s="175">
        <v>-0.0473</v>
      </c>
      <c r="G258" s="176">
        <v>-0.0336</v>
      </c>
      <c r="H258" s="176">
        <v>0.0507</v>
      </c>
      <c r="I258" s="101"/>
      <c r="J258" s="101"/>
      <c r="K258" s="33"/>
      <c r="L258" s="30"/>
      <c r="Q258" s="199">
        <f t="shared" si="21"/>
        <v>0.133333333333333</v>
      </c>
      <c r="R258" s="19">
        <v>60</v>
      </c>
      <c r="S258" s="19">
        <v>8</v>
      </c>
      <c r="T258" s="295"/>
      <c r="U258" s="296"/>
      <c r="V258" s="296"/>
      <c r="W258" s="297"/>
    </row>
    <row r="259" spans="1:23">
      <c r="A259" s="78">
        <v>45826</v>
      </c>
      <c r="B259" s="14"/>
      <c r="C259" s="14"/>
      <c r="D259" s="30"/>
      <c r="E259" s="167"/>
      <c r="F259" s="175"/>
      <c r="G259" s="176"/>
      <c r="H259" s="176"/>
      <c r="I259" s="101"/>
      <c r="J259" s="101"/>
      <c r="K259" s="33"/>
      <c r="L259" s="30"/>
      <c r="Q259" s="211">
        <f t="shared" si="21"/>
        <v>0.26530612244898</v>
      </c>
      <c r="R259" s="19">
        <v>49</v>
      </c>
      <c r="S259" s="19">
        <v>13</v>
      </c>
      <c r="T259" s="295"/>
      <c r="U259" s="296"/>
      <c r="V259" s="296"/>
      <c r="W259" s="297"/>
    </row>
    <row r="260" spans="1:23">
      <c r="A260" s="272">
        <v>45827</v>
      </c>
      <c r="B260" s="68" t="s">
        <v>300</v>
      </c>
      <c r="C260" s="68" t="s">
        <v>98</v>
      </c>
      <c r="D260" s="69">
        <v>-0.0972</v>
      </c>
      <c r="E260" s="177">
        <v>-0.0799</v>
      </c>
      <c r="F260" s="175">
        <v>0.023</v>
      </c>
      <c r="G260" s="176">
        <v>0.0069</v>
      </c>
      <c r="H260" s="176">
        <v>0.0069</v>
      </c>
      <c r="I260" s="101">
        <v>-0.0799</v>
      </c>
      <c r="J260" s="101">
        <f>(1+I260)*J256</f>
        <v>0.71473260244413</v>
      </c>
      <c r="K260" s="33"/>
      <c r="L260" s="30"/>
      <c r="Q260" s="211">
        <f t="shared" si="21"/>
        <v>0.512820512820513</v>
      </c>
      <c r="R260" s="19">
        <v>39</v>
      </c>
      <c r="S260" s="19">
        <v>20</v>
      </c>
      <c r="T260" s="295"/>
      <c r="U260" s="296"/>
      <c r="V260" s="296"/>
      <c r="W260" s="297"/>
    </row>
    <row r="261" spans="1:23">
      <c r="A261" s="118">
        <v>45828</v>
      </c>
      <c r="B261" s="14"/>
      <c r="C261" s="14"/>
      <c r="D261" s="30"/>
      <c r="E261" s="167"/>
      <c r="F261" s="175"/>
      <c r="G261" s="176"/>
      <c r="H261" s="176"/>
      <c r="I261" s="101"/>
      <c r="J261" s="101"/>
      <c r="K261" s="33"/>
      <c r="L261" s="30"/>
      <c r="Q261" s="211">
        <f t="shared" si="21"/>
        <v>0.365384615384615</v>
      </c>
      <c r="R261" s="19">
        <v>52</v>
      </c>
      <c r="S261" s="19">
        <v>19</v>
      </c>
      <c r="T261" s="295"/>
      <c r="U261" s="296"/>
      <c r="V261" s="296"/>
      <c r="W261" s="297"/>
    </row>
    <row r="262" spans="1:23">
      <c r="A262" s="78">
        <v>45831</v>
      </c>
      <c r="B262" s="14"/>
      <c r="C262" s="14"/>
      <c r="D262" s="30"/>
      <c r="E262" s="167"/>
      <c r="F262" s="175"/>
      <c r="G262" s="176"/>
      <c r="H262" s="176"/>
      <c r="I262" s="101"/>
      <c r="J262" s="101"/>
      <c r="K262" s="33"/>
      <c r="L262" s="30"/>
      <c r="Q262" s="199">
        <f t="shared" si="21"/>
        <v>0.0119047619047619</v>
      </c>
      <c r="R262" s="19">
        <v>84</v>
      </c>
      <c r="S262" s="19">
        <v>1</v>
      </c>
      <c r="T262" s="295"/>
      <c r="U262" s="296"/>
      <c r="V262" s="296"/>
      <c r="W262" s="297"/>
    </row>
    <row r="263" spans="1:23">
      <c r="A263" s="272">
        <v>45832</v>
      </c>
      <c r="B263" s="306" t="s">
        <v>301</v>
      </c>
      <c r="C263" s="68" t="s">
        <v>98</v>
      </c>
      <c r="D263" s="69">
        <v>0.0229</v>
      </c>
      <c r="E263" s="177">
        <v>-0.0978</v>
      </c>
      <c r="F263" s="175">
        <v>0.0474</v>
      </c>
      <c r="G263" s="176">
        <v>-0.0345</v>
      </c>
      <c r="H263" s="176">
        <v>0.0179</v>
      </c>
      <c r="I263" s="285">
        <v>-0.034</v>
      </c>
      <c r="J263" s="285">
        <f>(1+I263)*J260</f>
        <v>0.69043169396103</v>
      </c>
      <c r="K263" s="286"/>
      <c r="L263" s="287"/>
      <c r="Q263" s="298">
        <f t="shared" si="21"/>
        <v>0.226190476190476</v>
      </c>
      <c r="R263" s="299">
        <v>84</v>
      </c>
      <c r="S263" s="299">
        <v>19</v>
      </c>
      <c r="T263" s="295"/>
      <c r="U263" s="296"/>
      <c r="V263" s="296"/>
      <c r="W263" s="297"/>
    </row>
    <row r="264" spans="1:23">
      <c r="A264" s="273"/>
      <c r="B264" s="72" t="s">
        <v>302</v>
      </c>
      <c r="C264" s="72" t="s">
        <v>98</v>
      </c>
      <c r="D264" s="42">
        <v>-0.0985</v>
      </c>
      <c r="E264" s="174">
        <v>0.0301</v>
      </c>
      <c r="F264" s="175">
        <v>-0.0313</v>
      </c>
      <c r="G264" s="176">
        <v>-0.0098</v>
      </c>
      <c r="H264" s="176">
        <v>0</v>
      </c>
      <c r="I264" s="291"/>
      <c r="J264" s="291"/>
      <c r="K264" s="292"/>
      <c r="L264" s="293"/>
      <c r="Q264" s="300"/>
      <c r="R264" s="301"/>
      <c r="S264" s="301"/>
      <c r="T264" s="295"/>
      <c r="U264" s="296"/>
      <c r="V264" s="296"/>
      <c r="W264" s="297"/>
    </row>
    <row r="265" spans="1:23">
      <c r="A265" s="78">
        <v>45833</v>
      </c>
      <c r="B265" s="14"/>
      <c r="C265" s="14"/>
      <c r="D265" s="30"/>
      <c r="E265" s="167"/>
      <c r="F265" s="175"/>
      <c r="G265" s="176"/>
      <c r="H265" s="176"/>
      <c r="I265" s="35"/>
      <c r="J265" s="35"/>
      <c r="K265" s="33"/>
      <c r="L265" s="30"/>
      <c r="Q265" s="199">
        <f t="shared" si="21"/>
        <v>0.0779220779220779</v>
      </c>
      <c r="R265" s="19">
        <v>77</v>
      </c>
      <c r="S265" s="19">
        <v>6</v>
      </c>
      <c r="T265" s="295"/>
      <c r="U265" s="296"/>
      <c r="V265" s="296"/>
      <c r="W265" s="297"/>
    </row>
    <row r="266" spans="1:23">
      <c r="A266" s="78">
        <v>45834</v>
      </c>
      <c r="B266" s="231" t="s">
        <v>303</v>
      </c>
      <c r="C266" s="231" t="s">
        <v>86</v>
      </c>
      <c r="D266" s="232">
        <v>-0.0972</v>
      </c>
      <c r="E266" s="233">
        <v>-0.0136</v>
      </c>
      <c r="F266" s="175">
        <v>0.0281</v>
      </c>
      <c r="G266" s="176">
        <v>0.0154</v>
      </c>
      <c r="H266" s="176">
        <v>-0.0455</v>
      </c>
      <c r="I266" s="35"/>
      <c r="J266" s="35"/>
      <c r="K266" s="33"/>
      <c r="L266" s="30"/>
      <c r="Q266" s="199">
        <f t="shared" si="21"/>
        <v>0.0428571428571429</v>
      </c>
      <c r="R266" s="19">
        <v>70</v>
      </c>
      <c r="S266" s="19">
        <v>3</v>
      </c>
      <c r="T266" s="295"/>
      <c r="U266" s="296"/>
      <c r="V266" s="296"/>
      <c r="W266" s="297"/>
    </row>
    <row r="267" spans="1:23">
      <c r="A267" s="283">
        <v>45835</v>
      </c>
      <c r="B267" s="68" t="s">
        <v>304</v>
      </c>
      <c r="C267" s="68" t="s">
        <v>91</v>
      </c>
      <c r="D267" s="69">
        <v>0.0484</v>
      </c>
      <c r="E267" s="177">
        <v>-0.0305</v>
      </c>
      <c r="F267" s="175">
        <v>-0.0371</v>
      </c>
      <c r="G267" s="176">
        <v>-0.0237</v>
      </c>
      <c r="H267" s="176">
        <v>0.001</v>
      </c>
      <c r="I267" s="294">
        <v>0.035</v>
      </c>
      <c r="J267" s="294">
        <f>(1+I267)*J263</f>
        <v>0.714596803249666</v>
      </c>
      <c r="K267" s="286"/>
      <c r="L267" s="287"/>
      <c r="Q267" s="302">
        <f t="shared" si="21"/>
        <v>0.0833333333333333</v>
      </c>
      <c r="R267" s="299">
        <v>60</v>
      </c>
      <c r="S267" s="299">
        <v>5</v>
      </c>
      <c r="T267" s="295"/>
      <c r="U267" s="296"/>
      <c r="V267" s="296"/>
      <c r="W267" s="297"/>
    </row>
    <row r="268" spans="1:23">
      <c r="A268" s="284"/>
      <c r="B268" s="38" t="s">
        <v>305</v>
      </c>
      <c r="C268" s="38" t="s">
        <v>98</v>
      </c>
      <c r="D268" s="383" t="s">
        <v>306</v>
      </c>
      <c r="E268" s="178" t="s">
        <v>92</v>
      </c>
      <c r="F268" s="175">
        <v>0.0234</v>
      </c>
      <c r="G268" s="176">
        <v>-0.0958</v>
      </c>
      <c r="H268" s="176">
        <v>-0.0439</v>
      </c>
      <c r="I268" s="307"/>
      <c r="J268" s="307"/>
      <c r="K268" s="292"/>
      <c r="L268" s="293"/>
      <c r="Q268" s="305"/>
      <c r="R268" s="301"/>
      <c r="S268" s="301"/>
      <c r="T268" s="295"/>
      <c r="U268" s="296"/>
      <c r="V268" s="296"/>
      <c r="W268" s="297"/>
    </row>
    <row r="269" spans="1:23">
      <c r="A269" s="78">
        <v>45838</v>
      </c>
      <c r="B269" s="68" t="s">
        <v>307</v>
      </c>
      <c r="C269" s="68" t="s">
        <v>98</v>
      </c>
      <c r="D269" s="69">
        <v>0.0609</v>
      </c>
      <c r="E269" s="177">
        <v>-0.0204</v>
      </c>
      <c r="F269" s="175">
        <v>-0.0548</v>
      </c>
      <c r="G269" s="176">
        <v>0.004</v>
      </c>
      <c r="H269" s="176">
        <v>-0.0181</v>
      </c>
      <c r="I269" s="101">
        <v>-0.0204</v>
      </c>
      <c r="J269" s="101">
        <f>(1+I269)*J267</f>
        <v>0.700019028463373</v>
      </c>
      <c r="K269" s="33">
        <v>-0.0204</v>
      </c>
      <c r="L269" s="30">
        <f>(1+K269)*L256</f>
        <v>3.04902316840018</v>
      </c>
      <c r="Q269" s="199">
        <f t="shared" si="21"/>
        <v>0.0543478260869565</v>
      </c>
      <c r="R269" s="19">
        <v>92</v>
      </c>
      <c r="S269" s="19">
        <v>5</v>
      </c>
      <c r="T269" s="295"/>
      <c r="U269" s="296"/>
      <c r="V269" s="296"/>
      <c r="W269" s="297"/>
    </row>
    <row r="270" spans="1:23">
      <c r="A270" s="78">
        <v>45839</v>
      </c>
      <c r="B270" s="14"/>
      <c r="C270" s="14"/>
      <c r="D270" s="30"/>
      <c r="E270" s="167"/>
      <c r="F270" s="175"/>
      <c r="G270" s="176"/>
      <c r="H270" s="176"/>
      <c r="I270" s="33"/>
      <c r="J270" s="33"/>
      <c r="K270" s="33"/>
      <c r="L270" s="30"/>
      <c r="Q270" s="199">
        <f t="shared" si="21"/>
        <v>0.0821917808219178</v>
      </c>
      <c r="R270" s="19">
        <v>73</v>
      </c>
      <c r="S270" s="19">
        <v>6</v>
      </c>
      <c r="T270" s="295"/>
      <c r="U270" s="296"/>
      <c r="V270" s="296"/>
      <c r="W270" s="297"/>
    </row>
    <row r="271" spans="1:23">
      <c r="A271" s="272">
        <v>45840</v>
      </c>
      <c r="B271" s="165" t="s">
        <v>308</v>
      </c>
      <c r="C271" s="165" t="s">
        <v>88</v>
      </c>
      <c r="D271" s="166">
        <v>-0.0434</v>
      </c>
      <c r="E271" s="167">
        <v>0.0213</v>
      </c>
      <c r="F271" s="384" t="s">
        <v>309</v>
      </c>
      <c r="G271" s="176"/>
      <c r="H271" s="176"/>
      <c r="I271" s="33"/>
      <c r="J271" s="33"/>
      <c r="K271" s="33"/>
      <c r="L271" s="30"/>
      <c r="Q271" s="298">
        <f t="shared" si="21"/>
        <v>0.145161290322581</v>
      </c>
      <c r="R271" s="299">
        <v>62</v>
      </c>
      <c r="S271" s="299">
        <v>9</v>
      </c>
      <c r="T271" s="295"/>
      <c r="U271" s="296"/>
      <c r="V271" s="296"/>
      <c r="W271" s="297"/>
    </row>
    <row r="272" spans="1:23">
      <c r="A272" s="273"/>
      <c r="B272" s="165" t="s">
        <v>310</v>
      </c>
      <c r="C272" s="165" t="s">
        <v>88</v>
      </c>
      <c r="D272" s="166">
        <v>-0.0671</v>
      </c>
      <c r="E272" s="167">
        <v>0.0059</v>
      </c>
      <c r="F272" s="175">
        <v>-0.0435</v>
      </c>
      <c r="G272" s="176"/>
      <c r="H272" s="176"/>
      <c r="I272" s="33"/>
      <c r="J272" s="33"/>
      <c r="K272" s="33"/>
      <c r="L272" s="30"/>
      <c r="Q272" s="300"/>
      <c r="R272" s="301"/>
      <c r="S272" s="301"/>
      <c r="T272" s="295"/>
      <c r="U272" s="296"/>
      <c r="V272" s="296"/>
      <c r="W272" s="297"/>
    </row>
    <row r="273" spans="1:23">
      <c r="A273" s="78">
        <v>45841</v>
      </c>
      <c r="B273" s="165" t="s">
        <v>311</v>
      </c>
      <c r="C273" s="165" t="s">
        <v>88</v>
      </c>
      <c r="D273" s="166">
        <v>0.0004</v>
      </c>
      <c r="E273" s="167">
        <v>-0.0781</v>
      </c>
      <c r="F273" s="175"/>
      <c r="G273" s="176"/>
      <c r="H273" s="176"/>
      <c r="I273" s="33"/>
      <c r="J273" s="33"/>
      <c r="K273" s="33"/>
      <c r="L273" s="30"/>
      <c r="Q273" s="199">
        <f t="shared" si="21"/>
        <v>0.106060606060606</v>
      </c>
      <c r="R273" s="19">
        <v>66</v>
      </c>
      <c r="S273" s="19">
        <v>7</v>
      </c>
      <c r="T273" s="295"/>
      <c r="U273" s="296"/>
      <c r="V273" s="296"/>
      <c r="W273" s="297"/>
    </row>
    <row r="274" spans="1:23">
      <c r="A274" s="118">
        <v>45842</v>
      </c>
      <c r="B274" s="14" t="s">
        <v>312</v>
      </c>
      <c r="C274" s="14" t="s">
        <v>98</v>
      </c>
      <c r="D274" s="30" t="s">
        <v>89</v>
      </c>
      <c r="E274" s="167"/>
      <c r="F274" s="175"/>
      <c r="G274" s="176"/>
      <c r="H274" s="176"/>
      <c r="I274" s="33"/>
      <c r="J274" s="33"/>
      <c r="K274" s="33"/>
      <c r="L274" s="30"/>
      <c r="Q274" s="211">
        <f t="shared" si="21"/>
        <v>0.292682926829268</v>
      </c>
      <c r="R274" s="19">
        <v>41</v>
      </c>
      <c r="S274" s="19">
        <v>12</v>
      </c>
      <c r="T274" s="295"/>
      <c r="U274" s="296"/>
      <c r="V274" s="296"/>
      <c r="W274" s="297"/>
    </row>
    <row r="275" spans="1:23">
      <c r="A275" s="78">
        <v>45845</v>
      </c>
      <c r="B275" s="14"/>
      <c r="C275" s="14"/>
      <c r="D275" s="30"/>
      <c r="E275" s="233"/>
      <c r="F275" s="168"/>
      <c r="G275" s="169"/>
      <c r="H275" s="169"/>
      <c r="I275" s="33"/>
      <c r="J275" s="33"/>
      <c r="K275" s="33"/>
      <c r="L275" s="30"/>
      <c r="Q275" s="41"/>
      <c r="R275" s="123"/>
      <c r="S275" s="123"/>
      <c r="T275" s="295"/>
      <c r="U275" s="296"/>
      <c r="V275" s="296"/>
      <c r="W275" s="297"/>
    </row>
    <row r="276" spans="1:23">
      <c r="A276" s="78">
        <v>45846</v>
      </c>
      <c r="B276" s="14"/>
      <c r="C276" s="14"/>
      <c r="D276" s="30"/>
      <c r="E276" s="164"/>
      <c r="F276" s="32"/>
      <c r="G276" s="33"/>
      <c r="H276" s="33"/>
      <c r="I276" s="33"/>
      <c r="J276" s="33"/>
      <c r="K276" s="33"/>
      <c r="L276" s="30"/>
      <c r="Q276" s="41"/>
      <c r="R276" s="123"/>
      <c r="S276" s="123"/>
      <c r="T276" s="295"/>
      <c r="U276" s="296"/>
      <c r="V276" s="296"/>
      <c r="W276" s="297"/>
    </row>
    <row r="277" spans="1:23">
      <c r="A277" s="78">
        <v>45847</v>
      </c>
      <c r="B277" s="14"/>
      <c r="C277" s="14"/>
      <c r="D277" s="30"/>
      <c r="E277" s="164"/>
      <c r="F277" s="32"/>
      <c r="G277" s="33"/>
      <c r="H277" s="33"/>
      <c r="I277" s="33"/>
      <c r="J277" s="33"/>
      <c r="K277" s="33"/>
      <c r="L277" s="30"/>
      <c r="Q277" s="41"/>
      <c r="R277" s="123"/>
      <c r="S277" s="123"/>
      <c r="T277" s="295"/>
      <c r="U277" s="296"/>
      <c r="V277" s="296"/>
      <c r="W277" s="297"/>
    </row>
    <row r="278" spans="1:23">
      <c r="A278" s="78">
        <v>45848</v>
      </c>
      <c r="B278" s="14"/>
      <c r="C278" s="14"/>
      <c r="D278" s="30"/>
      <c r="E278" s="164"/>
      <c r="F278" s="32"/>
      <c r="G278" s="33"/>
      <c r="H278" s="33"/>
      <c r="I278" s="33"/>
      <c r="J278" s="33"/>
      <c r="K278" s="33"/>
      <c r="L278" s="30"/>
      <c r="Q278" s="41"/>
      <c r="R278" s="123"/>
      <c r="S278" s="123"/>
      <c r="T278" s="295"/>
      <c r="U278" s="296"/>
      <c r="V278" s="296"/>
      <c r="W278" s="297"/>
    </row>
    <row r="279" spans="1:23">
      <c r="A279" s="118">
        <v>45849</v>
      </c>
      <c r="B279" s="68"/>
      <c r="C279" s="68"/>
      <c r="D279" s="69"/>
      <c r="E279" s="164"/>
      <c r="F279" s="32"/>
      <c r="G279" s="33"/>
      <c r="H279" s="33"/>
      <c r="I279" s="33"/>
      <c r="J279" s="33"/>
      <c r="K279" s="33"/>
      <c r="L279" s="30"/>
      <c r="Q279" s="41"/>
      <c r="R279" s="123"/>
      <c r="S279" s="123"/>
      <c r="T279" s="295"/>
      <c r="U279" s="296"/>
      <c r="V279" s="296"/>
      <c r="W279" s="297"/>
    </row>
    <row r="280" spans="1:23">
      <c r="A280" s="78">
        <v>45852</v>
      </c>
      <c r="B280" s="68"/>
      <c r="C280" s="68"/>
      <c r="D280" s="69"/>
      <c r="E280" s="164"/>
      <c r="F280" s="32"/>
      <c r="G280" s="33"/>
      <c r="H280" s="33"/>
      <c r="I280" s="33"/>
      <c r="J280" s="33"/>
      <c r="K280" s="33"/>
      <c r="L280" s="30"/>
      <c r="Q280" s="41"/>
      <c r="R280" s="123"/>
      <c r="S280" s="123"/>
      <c r="T280" s="295"/>
      <c r="U280" s="296"/>
      <c r="V280" s="296"/>
      <c r="W280" s="297"/>
    </row>
    <row r="281" spans="1:23">
      <c r="A281" s="78">
        <v>45853</v>
      </c>
      <c r="B281" s="68"/>
      <c r="C281" s="68"/>
      <c r="D281" s="69"/>
      <c r="E281" s="164"/>
      <c r="F281" s="32"/>
      <c r="G281" s="33"/>
      <c r="H281" s="33"/>
      <c r="I281" s="33"/>
      <c r="J281" s="33"/>
      <c r="K281" s="33"/>
      <c r="L281" s="30"/>
      <c r="Q281" s="41"/>
      <c r="R281" s="123"/>
      <c r="S281" s="123"/>
      <c r="T281" s="295"/>
      <c r="U281" s="296"/>
      <c r="V281" s="296"/>
      <c r="W281" s="297"/>
    </row>
    <row r="282" spans="1:23">
      <c r="A282" s="78">
        <v>45854</v>
      </c>
      <c r="B282" s="68"/>
      <c r="C282" s="68"/>
      <c r="D282" s="69"/>
      <c r="E282" s="164"/>
      <c r="F282" s="32"/>
      <c r="G282" s="33"/>
      <c r="H282" s="33"/>
      <c r="I282" s="33"/>
      <c r="J282" s="33"/>
      <c r="K282" s="33"/>
      <c r="L282" s="30"/>
      <c r="Q282" s="41"/>
      <c r="R282" s="123"/>
      <c r="S282" s="123"/>
      <c r="T282" s="295"/>
      <c r="U282" s="296"/>
      <c r="V282" s="296"/>
      <c r="W282" s="297"/>
    </row>
    <row r="283" spans="1:23">
      <c r="A283" s="78">
        <v>45855</v>
      </c>
      <c r="B283" s="68"/>
      <c r="C283" s="68"/>
      <c r="D283" s="69"/>
      <c r="E283" s="164"/>
      <c r="F283" s="32"/>
      <c r="G283" s="33"/>
      <c r="H283" s="33"/>
      <c r="I283" s="33"/>
      <c r="J283" s="33"/>
      <c r="K283" s="33"/>
      <c r="L283" s="30"/>
      <c r="Q283" s="41"/>
      <c r="R283" s="123"/>
      <c r="S283" s="123"/>
      <c r="T283" s="295"/>
      <c r="U283" s="296"/>
      <c r="V283" s="296"/>
      <c r="W283" s="297"/>
    </row>
    <row r="284" spans="1:23">
      <c r="A284" s="118">
        <v>45856</v>
      </c>
      <c r="B284" s="68"/>
      <c r="C284" s="68"/>
      <c r="D284" s="69"/>
      <c r="E284" s="164"/>
      <c r="F284" s="32"/>
      <c r="G284" s="33"/>
      <c r="H284" s="33"/>
      <c r="I284" s="33"/>
      <c r="J284" s="33"/>
      <c r="K284" s="33"/>
      <c r="L284" s="30"/>
      <c r="Q284" s="41"/>
      <c r="R284" s="123"/>
      <c r="S284" s="123"/>
      <c r="T284" s="295"/>
      <c r="U284" s="296"/>
      <c r="V284" s="296"/>
      <c r="W284" s="297"/>
    </row>
    <row r="285" spans="1:23">
      <c r="A285" s="78">
        <v>45859</v>
      </c>
      <c r="B285" s="68"/>
      <c r="C285" s="68"/>
      <c r="D285" s="69"/>
      <c r="E285" s="164"/>
      <c r="F285" s="32"/>
      <c r="G285" s="33"/>
      <c r="H285" s="33"/>
      <c r="I285" s="33"/>
      <c r="J285" s="33"/>
      <c r="K285" s="33"/>
      <c r="L285" s="30"/>
      <c r="Q285" s="41"/>
      <c r="R285" s="123"/>
      <c r="S285" s="123"/>
      <c r="T285" s="295"/>
      <c r="U285" s="296"/>
      <c r="V285" s="296"/>
      <c r="W285" s="297"/>
    </row>
    <row r="286" spans="1:23">
      <c r="A286" s="78">
        <v>45860</v>
      </c>
      <c r="B286" s="68"/>
      <c r="C286" s="68"/>
      <c r="D286" s="69"/>
      <c r="E286" s="164"/>
      <c r="F286" s="32"/>
      <c r="G286" s="33"/>
      <c r="H286" s="33"/>
      <c r="I286" s="33"/>
      <c r="J286" s="33"/>
      <c r="K286" s="33"/>
      <c r="L286" s="30"/>
      <c r="Q286" s="41"/>
      <c r="R286" s="123"/>
      <c r="S286" s="123"/>
      <c r="T286" s="295"/>
      <c r="U286" s="296"/>
      <c r="V286" s="296"/>
      <c r="W286" s="297"/>
    </row>
    <row r="287" spans="1:23">
      <c r="A287" s="78">
        <v>45861</v>
      </c>
      <c r="B287" s="68"/>
      <c r="C287" s="68"/>
      <c r="D287" s="69"/>
      <c r="E287" s="164"/>
      <c r="F287" s="32"/>
      <c r="G287" s="33"/>
      <c r="H287" s="33"/>
      <c r="I287" s="33"/>
      <c r="J287" s="33"/>
      <c r="K287" s="33"/>
      <c r="L287" s="30"/>
      <c r="Q287" s="41"/>
      <c r="R287" s="123"/>
      <c r="S287" s="123"/>
      <c r="T287" s="295"/>
      <c r="U287" s="296"/>
      <c r="V287" s="296"/>
      <c r="W287" s="297"/>
    </row>
    <row r="288" spans="1:23">
      <c r="A288" s="78">
        <v>45862</v>
      </c>
      <c r="B288" s="68"/>
      <c r="C288" s="68"/>
      <c r="D288" s="69"/>
      <c r="E288" s="164"/>
      <c r="F288" s="32"/>
      <c r="G288" s="33"/>
      <c r="H288" s="33"/>
      <c r="I288" s="33"/>
      <c r="J288" s="33"/>
      <c r="K288" s="33"/>
      <c r="L288" s="30"/>
      <c r="Q288" s="41"/>
      <c r="R288" s="123"/>
      <c r="S288" s="123"/>
      <c r="T288" s="295"/>
      <c r="U288" s="296"/>
      <c r="V288" s="296"/>
      <c r="W288" s="297"/>
    </row>
    <row r="289" spans="1:23">
      <c r="A289" s="118">
        <v>45863</v>
      </c>
      <c r="B289" s="68"/>
      <c r="C289" s="68"/>
      <c r="D289" s="69"/>
      <c r="E289" s="164"/>
      <c r="F289" s="32"/>
      <c r="G289" s="33"/>
      <c r="H289" s="33"/>
      <c r="I289" s="33"/>
      <c r="J289" s="33"/>
      <c r="K289" s="33"/>
      <c r="L289" s="30"/>
      <c r="Q289" s="41"/>
      <c r="R289" s="123"/>
      <c r="S289" s="123"/>
      <c r="T289" s="295"/>
      <c r="U289" s="296"/>
      <c r="V289" s="296"/>
      <c r="W289" s="297"/>
    </row>
  </sheetData>
  <mergeCells count="645">
    <mergeCell ref="B3:H3"/>
    <mergeCell ref="B4:C4"/>
    <mergeCell ref="D4:H4"/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M16:O16"/>
    <mergeCell ref="T16:W16"/>
    <mergeCell ref="T17:W17"/>
    <mergeCell ref="T18:W18"/>
    <mergeCell ref="T19:W19"/>
    <mergeCell ref="T20:W20"/>
    <mergeCell ref="T21:W21"/>
    <mergeCell ref="T22:W22"/>
    <mergeCell ref="T23:W23"/>
    <mergeCell ref="T24:W24"/>
    <mergeCell ref="T25:W25"/>
    <mergeCell ref="T26:W26"/>
    <mergeCell ref="T27:W27"/>
    <mergeCell ref="T28:W28"/>
    <mergeCell ref="T29:W29"/>
    <mergeCell ref="T30:W30"/>
    <mergeCell ref="T31:W31"/>
    <mergeCell ref="T32:W32"/>
    <mergeCell ref="T33:W33"/>
    <mergeCell ref="T34:W34"/>
    <mergeCell ref="T35:W35"/>
    <mergeCell ref="T36:W36"/>
    <mergeCell ref="T37:W37"/>
    <mergeCell ref="T38:W38"/>
    <mergeCell ref="T39:W39"/>
    <mergeCell ref="T40:W40"/>
    <mergeCell ref="T41:W41"/>
    <mergeCell ref="T42:W42"/>
    <mergeCell ref="T43:W43"/>
    <mergeCell ref="T44:W44"/>
    <mergeCell ref="T45:W45"/>
    <mergeCell ref="T46:W46"/>
    <mergeCell ref="T47:W47"/>
    <mergeCell ref="T48:W48"/>
    <mergeCell ref="T49:W49"/>
    <mergeCell ref="T50:W50"/>
    <mergeCell ref="T51:W51"/>
    <mergeCell ref="T52:W52"/>
    <mergeCell ref="T53:W53"/>
    <mergeCell ref="T54:W54"/>
    <mergeCell ref="T55:W55"/>
    <mergeCell ref="T56:W56"/>
    <mergeCell ref="T57:W57"/>
    <mergeCell ref="T58:W58"/>
    <mergeCell ref="T59:W59"/>
    <mergeCell ref="T60:W60"/>
    <mergeCell ref="T61:W61"/>
    <mergeCell ref="T62:W62"/>
    <mergeCell ref="T63:W63"/>
    <mergeCell ref="T64:W64"/>
    <mergeCell ref="T65:W65"/>
    <mergeCell ref="T66:W66"/>
    <mergeCell ref="T67:W67"/>
    <mergeCell ref="T68:W68"/>
    <mergeCell ref="T69:W69"/>
    <mergeCell ref="T70:W70"/>
    <mergeCell ref="T71:W71"/>
    <mergeCell ref="T72:W72"/>
    <mergeCell ref="T73:W73"/>
    <mergeCell ref="T74:W74"/>
    <mergeCell ref="T75:W75"/>
    <mergeCell ref="T76:W76"/>
    <mergeCell ref="T77:W77"/>
    <mergeCell ref="T78:W78"/>
    <mergeCell ref="T79:W79"/>
    <mergeCell ref="T80:W80"/>
    <mergeCell ref="T81:W81"/>
    <mergeCell ref="T82:W82"/>
    <mergeCell ref="T83:W83"/>
    <mergeCell ref="T84:W84"/>
    <mergeCell ref="T85:W85"/>
    <mergeCell ref="T86:W86"/>
    <mergeCell ref="T87:W87"/>
    <mergeCell ref="T88:W88"/>
    <mergeCell ref="T89:W89"/>
    <mergeCell ref="T90:W90"/>
    <mergeCell ref="T91:W91"/>
    <mergeCell ref="T92:W92"/>
    <mergeCell ref="T93:W93"/>
    <mergeCell ref="T94:W94"/>
    <mergeCell ref="T95:W95"/>
    <mergeCell ref="T96:W96"/>
    <mergeCell ref="T97:W97"/>
    <mergeCell ref="T98:W98"/>
    <mergeCell ref="T99:W99"/>
    <mergeCell ref="T100:W100"/>
    <mergeCell ref="T101:W101"/>
    <mergeCell ref="T102:W102"/>
    <mergeCell ref="T103:W103"/>
    <mergeCell ref="T104:W104"/>
    <mergeCell ref="T105:W105"/>
    <mergeCell ref="T106:W106"/>
    <mergeCell ref="T107:W107"/>
    <mergeCell ref="T108:W108"/>
    <mergeCell ref="T109:W109"/>
    <mergeCell ref="T110:W110"/>
    <mergeCell ref="T111:W111"/>
    <mergeCell ref="T112:W112"/>
    <mergeCell ref="T113:W113"/>
    <mergeCell ref="T114:W114"/>
    <mergeCell ref="T115:W115"/>
    <mergeCell ref="T116:W116"/>
    <mergeCell ref="T117:W117"/>
    <mergeCell ref="T118:W118"/>
    <mergeCell ref="T119:W119"/>
    <mergeCell ref="T120:W120"/>
    <mergeCell ref="T121:W121"/>
    <mergeCell ref="T122:W122"/>
    <mergeCell ref="T123:W123"/>
    <mergeCell ref="T124:W124"/>
    <mergeCell ref="T125:W125"/>
    <mergeCell ref="T126:W126"/>
    <mergeCell ref="T127:W127"/>
    <mergeCell ref="T128:W128"/>
    <mergeCell ref="T129:W129"/>
    <mergeCell ref="T130:W130"/>
    <mergeCell ref="T131:W131"/>
    <mergeCell ref="T132:W132"/>
    <mergeCell ref="T133:W133"/>
    <mergeCell ref="T134:W134"/>
    <mergeCell ref="T135:W135"/>
    <mergeCell ref="T136:W136"/>
    <mergeCell ref="T137:W137"/>
    <mergeCell ref="T138:W138"/>
    <mergeCell ref="T139:W139"/>
    <mergeCell ref="T140:W140"/>
    <mergeCell ref="T141:W141"/>
    <mergeCell ref="T142:W142"/>
    <mergeCell ref="T143:W143"/>
    <mergeCell ref="T144:W144"/>
    <mergeCell ref="T145:W145"/>
    <mergeCell ref="T146:W146"/>
    <mergeCell ref="T147:W147"/>
    <mergeCell ref="T148:W148"/>
    <mergeCell ref="T149:W149"/>
    <mergeCell ref="T150:W150"/>
    <mergeCell ref="T151:W151"/>
    <mergeCell ref="T152:W152"/>
    <mergeCell ref="T153:W153"/>
    <mergeCell ref="T154:W154"/>
    <mergeCell ref="T155:W155"/>
    <mergeCell ref="T156:W156"/>
    <mergeCell ref="T157:W157"/>
    <mergeCell ref="T158:W158"/>
    <mergeCell ref="T159:W159"/>
    <mergeCell ref="T160:W160"/>
    <mergeCell ref="T161:W161"/>
    <mergeCell ref="T162:W162"/>
    <mergeCell ref="T163:W163"/>
    <mergeCell ref="T164:W164"/>
    <mergeCell ref="T165:W165"/>
    <mergeCell ref="T166:W166"/>
    <mergeCell ref="T167:W167"/>
    <mergeCell ref="T168:W168"/>
    <mergeCell ref="T169:W169"/>
    <mergeCell ref="T170:W170"/>
    <mergeCell ref="T171:W171"/>
    <mergeCell ref="T172:W172"/>
    <mergeCell ref="T173:W173"/>
    <mergeCell ref="T174:W174"/>
    <mergeCell ref="T175:W175"/>
    <mergeCell ref="T176:W176"/>
    <mergeCell ref="T177:W177"/>
    <mergeCell ref="T178:W178"/>
    <mergeCell ref="T179:W179"/>
    <mergeCell ref="T180:W180"/>
    <mergeCell ref="T181:W181"/>
    <mergeCell ref="T182:W182"/>
    <mergeCell ref="T183:W183"/>
    <mergeCell ref="T184:W184"/>
    <mergeCell ref="T185:W185"/>
    <mergeCell ref="T186:W186"/>
    <mergeCell ref="T187:W187"/>
    <mergeCell ref="T188:W188"/>
    <mergeCell ref="T189:W189"/>
    <mergeCell ref="T190:W190"/>
    <mergeCell ref="T191:W191"/>
    <mergeCell ref="T192:W192"/>
    <mergeCell ref="T193:W193"/>
    <mergeCell ref="T194:W194"/>
    <mergeCell ref="T195:W195"/>
    <mergeCell ref="T196:W196"/>
    <mergeCell ref="T197:W197"/>
    <mergeCell ref="T198:W198"/>
    <mergeCell ref="T199:W199"/>
    <mergeCell ref="T200:W200"/>
    <mergeCell ref="T201:W201"/>
    <mergeCell ref="T202:W202"/>
    <mergeCell ref="T203:W203"/>
    <mergeCell ref="T206:W206"/>
    <mergeCell ref="T207:W207"/>
    <mergeCell ref="T209:W209"/>
    <mergeCell ref="T211:W211"/>
    <mergeCell ref="T212:W212"/>
    <mergeCell ref="T214:W214"/>
    <mergeCell ref="T215:W215"/>
    <mergeCell ref="T216:W216"/>
    <mergeCell ref="T217:W217"/>
    <mergeCell ref="T218:W218"/>
    <mergeCell ref="T219:W219"/>
    <mergeCell ref="T220:W220"/>
    <mergeCell ref="T222:W222"/>
    <mergeCell ref="T225:W225"/>
    <mergeCell ref="T226:W226"/>
    <mergeCell ref="T227:W227"/>
    <mergeCell ref="T228:W228"/>
    <mergeCell ref="T229:W229"/>
    <mergeCell ref="T230:W230"/>
    <mergeCell ref="T232:W232"/>
    <mergeCell ref="T233:W233"/>
    <mergeCell ref="T234:W234"/>
    <mergeCell ref="T237:W237"/>
    <mergeCell ref="T238:W238"/>
    <mergeCell ref="T239:W239"/>
    <mergeCell ref="T240:W240"/>
    <mergeCell ref="T241:W241"/>
    <mergeCell ref="T242:W242"/>
    <mergeCell ref="T243:W243"/>
    <mergeCell ref="T245:W245"/>
    <mergeCell ref="T246:W246"/>
    <mergeCell ref="T248:W248"/>
    <mergeCell ref="T250:W250"/>
    <mergeCell ref="T251:W251"/>
    <mergeCell ref="T252:W252"/>
    <mergeCell ref="T253:W253"/>
    <mergeCell ref="T254:W254"/>
    <mergeCell ref="T255:W255"/>
    <mergeCell ref="T256:W256"/>
    <mergeCell ref="T258:W258"/>
    <mergeCell ref="T259:W259"/>
    <mergeCell ref="T260:W260"/>
    <mergeCell ref="T261:W261"/>
    <mergeCell ref="T262:W262"/>
    <mergeCell ref="T263:W263"/>
    <mergeCell ref="T265:W265"/>
    <mergeCell ref="T266:W266"/>
    <mergeCell ref="T267:W267"/>
    <mergeCell ref="T269:W269"/>
    <mergeCell ref="T270:W270"/>
    <mergeCell ref="T271:W271"/>
    <mergeCell ref="T273:W273"/>
    <mergeCell ref="T274:W274"/>
    <mergeCell ref="T275:W275"/>
    <mergeCell ref="T276:W276"/>
    <mergeCell ref="T277:W277"/>
    <mergeCell ref="T278:W278"/>
    <mergeCell ref="T279:W279"/>
    <mergeCell ref="T280:W280"/>
    <mergeCell ref="T281:W281"/>
    <mergeCell ref="T282:W282"/>
    <mergeCell ref="T283:W283"/>
    <mergeCell ref="T284:W284"/>
    <mergeCell ref="T285:W285"/>
    <mergeCell ref="T286:W286"/>
    <mergeCell ref="T287:W287"/>
    <mergeCell ref="T288:W288"/>
    <mergeCell ref="T289:W289"/>
    <mergeCell ref="A26:A27"/>
    <mergeCell ref="A30:A31"/>
    <mergeCell ref="A34:A36"/>
    <mergeCell ref="A39:A40"/>
    <mergeCell ref="A41:A43"/>
    <mergeCell ref="A44:A47"/>
    <mergeCell ref="A48:A49"/>
    <mergeCell ref="A50:A56"/>
    <mergeCell ref="A57:A59"/>
    <mergeCell ref="A65:A67"/>
    <mergeCell ref="A68:A69"/>
    <mergeCell ref="A71:A74"/>
    <mergeCell ref="A75:A78"/>
    <mergeCell ref="A82:A85"/>
    <mergeCell ref="A86:A89"/>
    <mergeCell ref="A90:A91"/>
    <mergeCell ref="A92:A94"/>
    <mergeCell ref="A95:A100"/>
    <mergeCell ref="A102:A103"/>
    <mergeCell ref="A107:A109"/>
    <mergeCell ref="A113:A114"/>
    <mergeCell ref="A116:A117"/>
    <mergeCell ref="A123:A124"/>
    <mergeCell ref="A129:A130"/>
    <mergeCell ref="A134:A135"/>
    <mergeCell ref="A144:A145"/>
    <mergeCell ref="A153:A156"/>
    <mergeCell ref="A157:A158"/>
    <mergeCell ref="A160:A161"/>
    <mergeCell ref="A163:A164"/>
    <mergeCell ref="A169:A170"/>
    <mergeCell ref="A173:A175"/>
    <mergeCell ref="A176:A177"/>
    <mergeCell ref="A183:A185"/>
    <mergeCell ref="A193:A194"/>
    <mergeCell ref="A204:A206"/>
    <mergeCell ref="A210:A211"/>
    <mergeCell ref="A213:A214"/>
    <mergeCell ref="A220:A221"/>
    <mergeCell ref="A223:A225"/>
    <mergeCell ref="A230:A231"/>
    <mergeCell ref="A234:A235"/>
    <mergeCell ref="A243:A244"/>
    <mergeCell ref="A246:A247"/>
    <mergeCell ref="A248:A249"/>
    <mergeCell ref="A256:A257"/>
    <mergeCell ref="A263:A264"/>
    <mergeCell ref="A267:A268"/>
    <mergeCell ref="A271:A272"/>
    <mergeCell ref="I26:I27"/>
    <mergeCell ref="I30:I31"/>
    <mergeCell ref="I34:I36"/>
    <mergeCell ref="I39:I40"/>
    <mergeCell ref="I41:I43"/>
    <mergeCell ref="I44:I47"/>
    <mergeCell ref="I48:I49"/>
    <mergeCell ref="I50:I56"/>
    <mergeCell ref="I57:I59"/>
    <mergeCell ref="I65:I67"/>
    <mergeCell ref="I68:I69"/>
    <mergeCell ref="I71:I74"/>
    <mergeCell ref="I75:I78"/>
    <mergeCell ref="I82:I85"/>
    <mergeCell ref="I86:I89"/>
    <mergeCell ref="I90:I91"/>
    <mergeCell ref="I92:I94"/>
    <mergeCell ref="I95:I100"/>
    <mergeCell ref="I102:I103"/>
    <mergeCell ref="I107:I109"/>
    <mergeCell ref="I113:I114"/>
    <mergeCell ref="I116:I117"/>
    <mergeCell ref="I123:I124"/>
    <mergeCell ref="I129:I130"/>
    <mergeCell ref="I134:I135"/>
    <mergeCell ref="I153:I156"/>
    <mergeCell ref="I157:I158"/>
    <mergeCell ref="I163:I164"/>
    <mergeCell ref="I169:I170"/>
    <mergeCell ref="I173:I175"/>
    <mergeCell ref="I176:I177"/>
    <mergeCell ref="I183:I185"/>
    <mergeCell ref="I193:I194"/>
    <mergeCell ref="I204:I206"/>
    <mergeCell ref="I210:I211"/>
    <mergeCell ref="I223:I225"/>
    <mergeCell ref="I243:I244"/>
    <mergeCell ref="I248:I249"/>
    <mergeCell ref="I256:I257"/>
    <mergeCell ref="I263:I264"/>
    <mergeCell ref="I267:I268"/>
    <mergeCell ref="J26:J27"/>
    <mergeCell ref="J30:J31"/>
    <mergeCell ref="J34:J36"/>
    <mergeCell ref="J39:J40"/>
    <mergeCell ref="J41:J43"/>
    <mergeCell ref="J44:J47"/>
    <mergeCell ref="J48:J49"/>
    <mergeCell ref="J50:J56"/>
    <mergeCell ref="J57:J59"/>
    <mergeCell ref="J65:J67"/>
    <mergeCell ref="J68:J69"/>
    <mergeCell ref="J71:J74"/>
    <mergeCell ref="J75:J78"/>
    <mergeCell ref="J82:J85"/>
    <mergeCell ref="J86:J89"/>
    <mergeCell ref="J90:J91"/>
    <mergeCell ref="J92:J94"/>
    <mergeCell ref="J95:J100"/>
    <mergeCell ref="J102:J103"/>
    <mergeCell ref="J107:J109"/>
    <mergeCell ref="J113:J114"/>
    <mergeCell ref="J116:J117"/>
    <mergeCell ref="J123:J124"/>
    <mergeCell ref="J129:J130"/>
    <mergeCell ref="J134:J135"/>
    <mergeCell ref="J153:J156"/>
    <mergeCell ref="J157:J158"/>
    <mergeCell ref="J163:J164"/>
    <mergeCell ref="J169:J170"/>
    <mergeCell ref="J173:J175"/>
    <mergeCell ref="J176:J177"/>
    <mergeCell ref="J183:J185"/>
    <mergeCell ref="J193:J194"/>
    <mergeCell ref="J204:J206"/>
    <mergeCell ref="J210:J211"/>
    <mergeCell ref="J223:J225"/>
    <mergeCell ref="J243:J244"/>
    <mergeCell ref="J248:J249"/>
    <mergeCell ref="J256:J257"/>
    <mergeCell ref="J263:J264"/>
    <mergeCell ref="J267:J268"/>
    <mergeCell ref="K26:K27"/>
    <mergeCell ref="K30:K31"/>
    <mergeCell ref="K34:K36"/>
    <mergeCell ref="K39:K40"/>
    <mergeCell ref="K41:K43"/>
    <mergeCell ref="K44:K47"/>
    <mergeCell ref="K48:K49"/>
    <mergeCell ref="K50:K56"/>
    <mergeCell ref="K57:K59"/>
    <mergeCell ref="K65:K67"/>
    <mergeCell ref="K68:K69"/>
    <mergeCell ref="K71:K74"/>
    <mergeCell ref="K75:K78"/>
    <mergeCell ref="K82:K85"/>
    <mergeCell ref="K86:K89"/>
    <mergeCell ref="K90:K91"/>
    <mergeCell ref="K92:K94"/>
    <mergeCell ref="K95:K100"/>
    <mergeCell ref="K102:K103"/>
    <mergeCell ref="K107:K109"/>
    <mergeCell ref="K113:K114"/>
    <mergeCell ref="K116:K117"/>
    <mergeCell ref="K123:K124"/>
    <mergeCell ref="K129:K130"/>
    <mergeCell ref="K134:K135"/>
    <mergeCell ref="K153:K156"/>
    <mergeCell ref="K157:K158"/>
    <mergeCell ref="K163:K164"/>
    <mergeCell ref="K169:K170"/>
    <mergeCell ref="K173:K175"/>
    <mergeCell ref="K176:K177"/>
    <mergeCell ref="K183:K185"/>
    <mergeCell ref="K193:K194"/>
    <mergeCell ref="K204:K206"/>
    <mergeCell ref="K210:K211"/>
    <mergeCell ref="K223:K225"/>
    <mergeCell ref="K248:K249"/>
    <mergeCell ref="K256:K257"/>
    <mergeCell ref="K263:K264"/>
    <mergeCell ref="K267:K268"/>
    <mergeCell ref="L26:L27"/>
    <mergeCell ref="L30:L31"/>
    <mergeCell ref="L34:L36"/>
    <mergeCell ref="L39:L40"/>
    <mergeCell ref="L41:L43"/>
    <mergeCell ref="L44:L47"/>
    <mergeCell ref="L48:L49"/>
    <mergeCell ref="L50:L56"/>
    <mergeCell ref="L57:L59"/>
    <mergeCell ref="L65:L67"/>
    <mergeCell ref="L68:L69"/>
    <mergeCell ref="L71:L74"/>
    <mergeCell ref="L75:L78"/>
    <mergeCell ref="L82:L85"/>
    <mergeCell ref="L86:L89"/>
    <mergeCell ref="L90:L91"/>
    <mergeCell ref="L92:L94"/>
    <mergeCell ref="L95:L100"/>
    <mergeCell ref="L102:L103"/>
    <mergeCell ref="L107:L109"/>
    <mergeCell ref="L113:L114"/>
    <mergeCell ref="L116:L117"/>
    <mergeCell ref="L123:L124"/>
    <mergeCell ref="L129:L130"/>
    <mergeCell ref="L134:L135"/>
    <mergeCell ref="L153:L156"/>
    <mergeCell ref="L157:L158"/>
    <mergeCell ref="L163:L164"/>
    <mergeCell ref="L169:L170"/>
    <mergeCell ref="L173:L175"/>
    <mergeCell ref="L176:L177"/>
    <mergeCell ref="L183:L185"/>
    <mergeCell ref="L193:L194"/>
    <mergeCell ref="L204:L206"/>
    <mergeCell ref="L210:L211"/>
    <mergeCell ref="L223:L225"/>
    <mergeCell ref="L248:L249"/>
    <mergeCell ref="L256:L257"/>
    <mergeCell ref="L263:L264"/>
    <mergeCell ref="L267:L268"/>
    <mergeCell ref="Q26:Q27"/>
    <mergeCell ref="Q30:Q31"/>
    <mergeCell ref="Q32:Q33"/>
    <mergeCell ref="Q34:Q36"/>
    <mergeCell ref="Q39:Q40"/>
    <mergeCell ref="Q41:Q43"/>
    <mergeCell ref="Q44:Q47"/>
    <mergeCell ref="Q48:Q49"/>
    <mergeCell ref="Q50:Q56"/>
    <mergeCell ref="Q57:Q59"/>
    <mergeCell ref="Q65:Q67"/>
    <mergeCell ref="Q68:Q69"/>
    <mergeCell ref="Q71:Q74"/>
    <mergeCell ref="Q75:Q78"/>
    <mergeCell ref="Q82:Q85"/>
    <mergeCell ref="Q86:Q89"/>
    <mergeCell ref="Q90:Q91"/>
    <mergeCell ref="Q92:Q94"/>
    <mergeCell ref="Q95:Q100"/>
    <mergeCell ref="Q102:Q103"/>
    <mergeCell ref="Q107:Q109"/>
    <mergeCell ref="Q113:Q114"/>
    <mergeCell ref="Q116:Q117"/>
    <mergeCell ref="Q123:Q124"/>
    <mergeCell ref="Q129:Q130"/>
    <mergeCell ref="Q134:Q135"/>
    <mergeCell ref="Q144:Q145"/>
    <mergeCell ref="Q153:Q156"/>
    <mergeCell ref="Q157:Q158"/>
    <mergeCell ref="Q160:Q161"/>
    <mergeCell ref="Q163:Q164"/>
    <mergeCell ref="Q169:Q170"/>
    <mergeCell ref="Q173:Q175"/>
    <mergeCell ref="Q176:Q177"/>
    <mergeCell ref="Q183:Q185"/>
    <mergeCell ref="Q193:Q194"/>
    <mergeCell ref="Q204:Q206"/>
    <mergeCell ref="Q210:Q211"/>
    <mergeCell ref="Q213:Q214"/>
    <mergeCell ref="Q220:Q221"/>
    <mergeCell ref="Q223:Q225"/>
    <mergeCell ref="Q230:Q231"/>
    <mergeCell ref="Q234:Q235"/>
    <mergeCell ref="Q243:Q244"/>
    <mergeCell ref="Q246:Q247"/>
    <mergeCell ref="Q248:Q249"/>
    <mergeCell ref="Q256:Q257"/>
    <mergeCell ref="Q263:Q264"/>
    <mergeCell ref="Q267:Q268"/>
    <mergeCell ref="Q271:Q272"/>
    <mergeCell ref="R26:R27"/>
    <mergeCell ref="R30:R31"/>
    <mergeCell ref="R32:R33"/>
    <mergeCell ref="R34:R36"/>
    <mergeCell ref="R39:R40"/>
    <mergeCell ref="R41:R43"/>
    <mergeCell ref="R44:R47"/>
    <mergeCell ref="R48:R49"/>
    <mergeCell ref="R50:R56"/>
    <mergeCell ref="R57:R59"/>
    <mergeCell ref="R65:R67"/>
    <mergeCell ref="R68:R69"/>
    <mergeCell ref="R71:R74"/>
    <mergeCell ref="R75:R78"/>
    <mergeCell ref="R82:R85"/>
    <mergeCell ref="R86:R89"/>
    <mergeCell ref="R90:R91"/>
    <mergeCell ref="R92:R94"/>
    <mergeCell ref="R95:R100"/>
    <mergeCell ref="R102:R103"/>
    <mergeCell ref="R107:R109"/>
    <mergeCell ref="R113:R114"/>
    <mergeCell ref="R116:R117"/>
    <mergeCell ref="R123:R124"/>
    <mergeCell ref="R129:R130"/>
    <mergeCell ref="R134:R135"/>
    <mergeCell ref="R144:R145"/>
    <mergeCell ref="R153:R156"/>
    <mergeCell ref="R157:R158"/>
    <mergeCell ref="R160:R161"/>
    <mergeCell ref="R163:R164"/>
    <mergeCell ref="R169:R170"/>
    <mergeCell ref="R173:R175"/>
    <mergeCell ref="R176:R177"/>
    <mergeCell ref="R183:R185"/>
    <mergeCell ref="R193:R194"/>
    <mergeCell ref="R204:R206"/>
    <mergeCell ref="R210:R211"/>
    <mergeCell ref="R213:R214"/>
    <mergeCell ref="R220:R221"/>
    <mergeCell ref="R223:R225"/>
    <mergeCell ref="R230:R231"/>
    <mergeCell ref="R234:R235"/>
    <mergeCell ref="R243:R244"/>
    <mergeCell ref="R246:R247"/>
    <mergeCell ref="R248:R249"/>
    <mergeCell ref="R256:R257"/>
    <mergeCell ref="R263:R264"/>
    <mergeCell ref="R267:R268"/>
    <mergeCell ref="R271:R272"/>
    <mergeCell ref="S26:S27"/>
    <mergeCell ref="S30:S31"/>
    <mergeCell ref="S32:S33"/>
    <mergeCell ref="S34:S36"/>
    <mergeCell ref="S39:S40"/>
    <mergeCell ref="S41:S43"/>
    <mergeCell ref="S44:S47"/>
    <mergeCell ref="S48:S49"/>
    <mergeCell ref="S50:S56"/>
    <mergeCell ref="S57:S59"/>
    <mergeCell ref="S65:S67"/>
    <mergeCell ref="S68:S69"/>
    <mergeCell ref="S71:S74"/>
    <mergeCell ref="S75:S78"/>
    <mergeCell ref="S82:S85"/>
    <mergeCell ref="S86:S89"/>
    <mergeCell ref="S90:S91"/>
    <mergeCell ref="S92:S94"/>
    <mergeCell ref="S95:S100"/>
    <mergeCell ref="S102:S103"/>
    <mergeCell ref="S107:S109"/>
    <mergeCell ref="S113:S114"/>
    <mergeCell ref="S116:S117"/>
    <mergeCell ref="S123:S124"/>
    <mergeCell ref="S129:S130"/>
    <mergeCell ref="S134:S135"/>
    <mergeCell ref="S144:S145"/>
    <mergeCell ref="S153:S156"/>
    <mergeCell ref="S157:S158"/>
    <mergeCell ref="S160:S161"/>
    <mergeCell ref="S163:S164"/>
    <mergeCell ref="S169:S170"/>
    <mergeCell ref="S173:S175"/>
    <mergeCell ref="S176:S177"/>
    <mergeCell ref="S183:S185"/>
    <mergeCell ref="S193:S194"/>
    <mergeCell ref="S204:S206"/>
    <mergeCell ref="S210:S211"/>
    <mergeCell ref="S213:S214"/>
    <mergeCell ref="S220:S221"/>
    <mergeCell ref="S223:S225"/>
    <mergeCell ref="S230:S231"/>
    <mergeCell ref="S234:S235"/>
    <mergeCell ref="S243:S244"/>
    <mergeCell ref="S246:S247"/>
    <mergeCell ref="S248:S249"/>
    <mergeCell ref="S256:S257"/>
    <mergeCell ref="S263:S264"/>
    <mergeCell ref="S267:S268"/>
    <mergeCell ref="S271:S272"/>
    <mergeCell ref="B1:H2"/>
    <mergeCell ref="M121:P141"/>
    <mergeCell ref="M142:P150"/>
    <mergeCell ref="M151:P166"/>
  </mergeCells>
  <dataValidations count="2">
    <dataValidation type="list" allowBlank="1" showInputMessage="1" showErrorMessage="1" sqref="C28 C32 C41 C58 C60 C62 C70 C81 C104 C20:C24">
      <formula1>"缩量连扳一字,缩量一字,缩量T字,缩量换手,缩量其它,放量一字,放量T字,放量快速换手,放量微快速换手,放量低预期快速换手,放量其它"</formula1>
    </dataValidation>
    <dataValidation type="list" allowBlank="1" showInputMessage="1" showErrorMessage="1" sqref="C59 C61 C105 C119 C139 C221 C222 C231 C235 C236 C244 C247 C248 C249 C257 C264 C268 C272 C18:C19 C25:C27 C29:C31 C33:C40 C42:C57 C63:C69 C71:C80 C82:C103 C107:C109 C111:C117 C123:C126 C128:C135 C141:C220 C223:C224 C225:C230 C232:C234 C237:C243 C245:C246 C250:C256 C258:C260 C261:C263 C265:C267 C269:C271 C273:C289">
      <formula1>"连扳一字,一字板,T字板,快速换手板,微快速换手板,低预期快速换手板,其它"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3"/>
  <sheetViews>
    <sheetView workbookViewId="0">
      <pane xSplit="1" ySplit="16" topLeftCell="B95" activePane="bottomRight" state="frozen"/>
      <selection/>
      <selection pane="topRight"/>
      <selection pane="bottomLeft"/>
      <selection pane="bottomRight" activeCell="K22" sqref="K22"/>
    </sheetView>
  </sheetViews>
  <sheetFormatPr defaultColWidth="9.14166666666667" defaultRowHeight="15.5"/>
  <cols>
    <col min="1" max="1" width="12.125" style="3" customWidth="1"/>
    <col min="2" max="2" width="8.625" style="4" customWidth="1"/>
    <col min="3" max="3" width="13.8333333333333" style="5" customWidth="1"/>
    <col min="4" max="4" width="7.125" style="6" customWidth="1"/>
    <col min="5" max="5" width="12.75" style="5" customWidth="1"/>
    <col min="6" max="6" width="10.375" style="5" customWidth="1"/>
    <col min="7" max="7" width="9.875" style="5" customWidth="1"/>
    <col min="8" max="8" width="5.125" style="5" customWidth="1"/>
    <col min="9" max="9" width="8.25" style="5" customWidth="1"/>
    <col min="10" max="10" width="9.125" style="5" customWidth="1"/>
    <col min="11" max="11" width="9.25" style="7" customWidth="1"/>
    <col min="12" max="12" width="6.875" style="5" customWidth="1"/>
    <col min="13" max="13" width="6.875" style="8" customWidth="1"/>
    <col min="14" max="14" width="10.375" style="8" customWidth="1"/>
    <col min="15" max="15" width="10.375" style="9" customWidth="1"/>
    <col min="16" max="16" width="14.375" style="10" customWidth="1"/>
    <col min="17" max="16384" width="9.14166666666667" style="2"/>
  </cols>
  <sheetData>
    <row r="1" s="2" customFormat="1" spans="1:16">
      <c r="A1" s="11"/>
      <c r="B1" s="12"/>
      <c r="C1" s="12"/>
      <c r="D1" s="13"/>
      <c r="E1" s="14" t="s">
        <v>33</v>
      </c>
      <c r="F1" s="15" t="s">
        <v>58</v>
      </c>
      <c r="G1" s="16" t="s">
        <v>51</v>
      </c>
      <c r="H1" s="16" t="s">
        <v>59</v>
      </c>
      <c r="I1" s="33" t="s">
        <v>60</v>
      </c>
      <c r="J1" s="33" t="s">
        <v>52</v>
      </c>
      <c r="K1" s="14" t="s">
        <v>33</v>
      </c>
      <c r="L1" s="15" t="s">
        <v>58</v>
      </c>
      <c r="M1" s="16" t="s">
        <v>51</v>
      </c>
      <c r="N1" s="16" t="s">
        <v>59</v>
      </c>
      <c r="O1" s="33" t="s">
        <v>60</v>
      </c>
      <c r="P1" s="33" t="s">
        <v>52</v>
      </c>
    </row>
    <row r="2" s="2" customFormat="1" spans="1:16">
      <c r="A2" s="11"/>
      <c r="B2" s="12"/>
      <c r="C2" s="12"/>
      <c r="D2" s="13"/>
      <c r="E2" s="17">
        <v>45658</v>
      </c>
      <c r="F2" s="18">
        <f>G2+H2</f>
        <v>7</v>
      </c>
      <c r="G2" s="19">
        <v>7</v>
      </c>
      <c r="H2" s="19">
        <v>0</v>
      </c>
      <c r="I2" s="35">
        <v>0.8194</v>
      </c>
      <c r="J2" s="35">
        <v>1.8194</v>
      </c>
      <c r="K2" s="17">
        <v>46023</v>
      </c>
      <c r="L2" s="15"/>
      <c r="M2" s="16"/>
      <c r="N2" s="16"/>
      <c r="O2" s="35"/>
      <c r="P2" s="35"/>
    </row>
    <row r="3" s="2" customFormat="1" spans="1:16">
      <c r="A3" s="11"/>
      <c r="B3" s="20"/>
      <c r="C3" s="20"/>
      <c r="D3" s="11"/>
      <c r="E3" s="17">
        <v>45689</v>
      </c>
      <c r="F3" s="18">
        <v>1</v>
      </c>
      <c r="G3" s="19">
        <v>2</v>
      </c>
      <c r="H3" s="19">
        <v>0</v>
      </c>
      <c r="I3" s="35">
        <f>J3/J2-1</f>
        <v>0.0661756623062548</v>
      </c>
      <c r="J3" s="35">
        <v>1.9398</v>
      </c>
      <c r="K3" s="17">
        <v>46054</v>
      </c>
      <c r="L3" s="15"/>
      <c r="M3" s="16"/>
      <c r="N3" s="16"/>
      <c r="O3" s="35"/>
      <c r="P3" s="35"/>
    </row>
    <row r="4" s="2" customFormat="1" spans="1:16">
      <c r="A4" s="11"/>
      <c r="B4" s="20"/>
      <c r="C4" s="20"/>
      <c r="D4" s="11"/>
      <c r="E4" s="17">
        <v>45717</v>
      </c>
      <c r="F4" s="18">
        <v>1</v>
      </c>
      <c r="G4" s="19">
        <v>1</v>
      </c>
      <c r="H4" s="19">
        <v>0</v>
      </c>
      <c r="I4" s="35">
        <v>0.0389</v>
      </c>
      <c r="J4" s="35">
        <v>2.9398</v>
      </c>
      <c r="K4" s="17">
        <v>46082</v>
      </c>
      <c r="L4" s="18"/>
      <c r="M4" s="19"/>
      <c r="N4" s="19"/>
      <c r="O4" s="35"/>
      <c r="P4" s="35"/>
    </row>
    <row r="5" s="2" customFormat="1" spans="1:16">
      <c r="A5" s="11"/>
      <c r="B5" s="20"/>
      <c r="C5" s="20"/>
      <c r="D5" s="11"/>
      <c r="E5" s="17">
        <v>45748</v>
      </c>
      <c r="F5" s="21"/>
      <c r="G5" s="22"/>
      <c r="H5" s="23"/>
      <c r="I5" s="83"/>
      <c r="J5" s="83"/>
      <c r="K5" s="17">
        <v>46113</v>
      </c>
      <c r="L5" s="21"/>
      <c r="M5" s="22"/>
      <c r="N5" s="22"/>
      <c r="O5" s="22"/>
      <c r="P5" s="22"/>
    </row>
    <row r="6" s="2" customFormat="1" spans="1:16">
      <c r="A6" s="11"/>
      <c r="B6" s="20"/>
      <c r="C6" s="20"/>
      <c r="D6" s="11"/>
      <c r="E6" s="17">
        <v>45778</v>
      </c>
      <c r="F6" s="21"/>
      <c r="G6" s="22"/>
      <c r="H6" s="23"/>
      <c r="I6" s="83"/>
      <c r="J6" s="83"/>
      <c r="K6" s="17">
        <v>46143</v>
      </c>
      <c r="L6" s="21"/>
      <c r="M6" s="22"/>
      <c r="N6" s="22"/>
      <c r="O6" s="22"/>
      <c r="P6" s="22"/>
    </row>
    <row r="7" s="2" customFormat="1" spans="1:16">
      <c r="A7" s="11"/>
      <c r="B7" s="20"/>
      <c r="C7" s="20"/>
      <c r="D7" s="11"/>
      <c r="E7" s="17">
        <v>45809</v>
      </c>
      <c r="F7" s="21"/>
      <c r="G7" s="22"/>
      <c r="H7" s="23"/>
      <c r="I7" s="83"/>
      <c r="J7" s="83"/>
      <c r="K7" s="17">
        <v>46174</v>
      </c>
      <c r="L7" s="21"/>
      <c r="M7" s="22"/>
      <c r="N7" s="22"/>
      <c r="O7" s="22"/>
      <c r="P7" s="22"/>
    </row>
    <row r="8" s="2" customFormat="1" spans="1:16">
      <c r="A8" s="11"/>
      <c r="B8" s="20"/>
      <c r="C8" s="20"/>
      <c r="D8" s="11"/>
      <c r="E8" s="17">
        <v>45839</v>
      </c>
      <c r="F8" s="21"/>
      <c r="G8" s="22"/>
      <c r="H8" s="23"/>
      <c r="I8" s="83"/>
      <c r="J8" s="83"/>
      <c r="K8" s="17">
        <v>46204</v>
      </c>
      <c r="L8" s="21"/>
      <c r="M8" s="22"/>
      <c r="N8" s="22"/>
      <c r="O8" s="22"/>
      <c r="P8" s="22"/>
    </row>
    <row r="9" s="2" customFormat="1" spans="1:16">
      <c r="A9" s="11"/>
      <c r="B9" s="20"/>
      <c r="C9" s="20"/>
      <c r="D9" s="11"/>
      <c r="E9" s="17">
        <v>45870</v>
      </c>
      <c r="F9" s="21"/>
      <c r="G9" s="22"/>
      <c r="H9" s="23"/>
      <c r="I9" s="83"/>
      <c r="J9" s="83"/>
      <c r="K9" s="17">
        <v>46235</v>
      </c>
      <c r="L9" s="21"/>
      <c r="M9" s="22"/>
      <c r="N9" s="22"/>
      <c r="O9" s="22"/>
      <c r="P9" s="22"/>
    </row>
    <row r="10" s="2" customFormat="1" spans="1:16">
      <c r="A10" s="11"/>
      <c r="B10" s="20"/>
      <c r="C10" s="20"/>
      <c r="D10" s="11"/>
      <c r="E10" s="17">
        <v>45901</v>
      </c>
      <c r="F10" s="21"/>
      <c r="G10" s="22"/>
      <c r="H10" s="23"/>
      <c r="I10" s="83"/>
      <c r="J10" s="83"/>
      <c r="K10" s="17">
        <v>46266</v>
      </c>
      <c r="L10" s="21"/>
      <c r="M10" s="22"/>
      <c r="N10" s="22"/>
      <c r="O10" s="22"/>
      <c r="P10" s="22"/>
    </row>
    <row r="11" s="2" customFormat="1" spans="1:16">
      <c r="A11" s="11"/>
      <c r="B11" s="20"/>
      <c r="C11" s="20"/>
      <c r="D11" s="11"/>
      <c r="E11" s="17">
        <v>45931</v>
      </c>
      <c r="F11" s="18"/>
      <c r="G11" s="19"/>
      <c r="H11" s="19"/>
      <c r="I11" s="35"/>
      <c r="J11" s="35"/>
      <c r="K11" s="17">
        <v>46296</v>
      </c>
      <c r="L11" s="18"/>
      <c r="M11" s="19"/>
      <c r="N11" s="19"/>
      <c r="O11" s="35"/>
      <c r="P11" s="35"/>
    </row>
    <row r="12" s="2" customFormat="1" spans="1:16">
      <c r="A12" s="11"/>
      <c r="B12" s="20"/>
      <c r="C12" s="20"/>
      <c r="D12" s="11"/>
      <c r="E12" s="17">
        <v>45962</v>
      </c>
      <c r="F12" s="24"/>
      <c r="G12" s="25"/>
      <c r="H12" s="25"/>
      <c r="I12" s="61"/>
      <c r="J12" s="61"/>
      <c r="K12" s="17">
        <v>46327</v>
      </c>
      <c r="L12" s="24"/>
      <c r="M12" s="25"/>
      <c r="N12" s="25"/>
      <c r="O12" s="61"/>
      <c r="P12" s="61"/>
    </row>
    <row r="13" s="2" customFormat="1" spans="1:16">
      <c r="A13" s="11"/>
      <c r="B13" s="20"/>
      <c r="C13" s="20"/>
      <c r="D13" s="11"/>
      <c r="E13" s="17">
        <v>45992</v>
      </c>
      <c r="F13" s="24"/>
      <c r="G13" s="25"/>
      <c r="H13" s="25"/>
      <c r="I13" s="61"/>
      <c r="J13" s="61"/>
      <c r="K13" s="17">
        <v>46357</v>
      </c>
      <c r="L13" s="24"/>
      <c r="M13" s="25"/>
      <c r="N13" s="25"/>
      <c r="O13" s="61"/>
      <c r="P13" s="61"/>
    </row>
    <row r="14" s="2" customFormat="1" spans="1:16">
      <c r="A14" s="11"/>
      <c r="B14" s="20"/>
      <c r="C14" s="20"/>
      <c r="D14" s="11"/>
      <c r="E14" s="26" t="s">
        <v>72</v>
      </c>
      <c r="F14" s="18">
        <f>SUM(F2:F13)</f>
        <v>9</v>
      </c>
      <c r="G14" s="18">
        <f>SUM(G2:G13)</f>
        <v>10</v>
      </c>
      <c r="H14" s="18">
        <f>SUM(H2:H13)</f>
        <v>0</v>
      </c>
      <c r="I14" s="35">
        <f>AVERAGE(I2:I13)</f>
        <v>0.308158554102085</v>
      </c>
      <c r="J14" s="35">
        <f>J3</f>
        <v>1.9398</v>
      </c>
      <c r="K14" s="26" t="s">
        <v>72</v>
      </c>
      <c r="L14" s="18"/>
      <c r="M14" s="19"/>
      <c r="N14" s="19"/>
      <c r="O14" s="35"/>
      <c r="P14" s="35"/>
    </row>
    <row r="15" s="2" customFormat="1" spans="1:16">
      <c r="A15" s="11"/>
      <c r="B15" s="11"/>
      <c r="C15" s="11"/>
      <c r="D15" s="11"/>
      <c r="E15" s="27"/>
      <c r="F15" s="28"/>
      <c r="G15" s="28"/>
      <c r="H15" s="28"/>
      <c r="I15" s="28"/>
      <c r="J15" s="28"/>
      <c r="K15" s="28"/>
      <c r="L15" s="84"/>
      <c r="M15" s="85"/>
      <c r="N15" s="85"/>
      <c r="O15" s="86"/>
      <c r="P15" s="87"/>
    </row>
    <row r="16" s="2" customFormat="1" spans="1:16">
      <c r="A16" s="29" t="s">
        <v>44</v>
      </c>
      <c r="B16" s="14" t="s">
        <v>73</v>
      </c>
      <c r="C16" s="30" t="s">
        <v>75</v>
      </c>
      <c r="D16" s="31" t="s">
        <v>76</v>
      </c>
      <c r="E16" s="32" t="s">
        <v>77</v>
      </c>
      <c r="F16" s="33" t="s">
        <v>82</v>
      </c>
      <c r="G16" s="33" t="s">
        <v>81</v>
      </c>
      <c r="H16" s="7"/>
      <c r="I16" s="7"/>
      <c r="J16" s="7"/>
      <c r="K16" s="88" t="s">
        <v>83</v>
      </c>
      <c r="L16" s="89" t="s">
        <v>55</v>
      </c>
      <c r="M16" s="89" t="s">
        <v>56</v>
      </c>
      <c r="N16" s="52"/>
      <c r="O16" s="90"/>
      <c r="P16" s="91"/>
    </row>
    <row r="17" s="2" customFormat="1" spans="1:16">
      <c r="A17" s="34">
        <v>45659</v>
      </c>
      <c r="B17" s="14"/>
      <c r="C17" s="30"/>
      <c r="D17" s="31"/>
      <c r="E17" s="32"/>
      <c r="F17" s="33"/>
      <c r="G17" s="35">
        <v>1</v>
      </c>
      <c r="H17" s="36"/>
      <c r="I17" s="36"/>
      <c r="J17" s="36"/>
      <c r="K17" s="35">
        <f ca="1">M17/L17</f>
        <v>0.477611940298507</v>
      </c>
      <c r="L17" s="19">
        <f ca="1">VLOOKUP(INDIRECT("A"&amp;ROW()),收益表!$A$16:$U$10014,20,0)</f>
        <v>67</v>
      </c>
      <c r="M17" s="19">
        <f ca="1">VLOOKUP(INDIRECT("A"&amp;ROW()),收益表!$A$16:$U$10014,21,0)</f>
        <v>32</v>
      </c>
      <c r="N17" s="92"/>
      <c r="O17" s="93"/>
      <c r="P17" s="94"/>
    </row>
    <row r="18" s="2" customFormat="1" spans="1:16">
      <c r="A18" s="37">
        <v>45660</v>
      </c>
      <c r="B18" s="38" t="s">
        <v>313</v>
      </c>
      <c r="C18" s="39">
        <v>-0.093</v>
      </c>
      <c r="D18" s="40" t="s">
        <v>92</v>
      </c>
      <c r="E18" s="41">
        <v>0.0433</v>
      </c>
      <c r="F18" s="35">
        <v>0.1</v>
      </c>
      <c r="G18" s="42">
        <f>(1+F18)*G17</f>
        <v>1.1</v>
      </c>
      <c r="H18" s="43" t="s">
        <v>314</v>
      </c>
      <c r="I18" s="48"/>
      <c r="J18" s="48"/>
      <c r="K18" s="41">
        <f ca="1">M18/L18</f>
        <v>2.01818181818182</v>
      </c>
      <c r="L18" s="19">
        <f ca="1">VLOOKUP(INDIRECT("A"&amp;ROW()),收益表!$A$16:$U$10014,20,0)</f>
        <v>55</v>
      </c>
      <c r="M18" s="19">
        <f ca="1">VLOOKUP(INDIRECT("A"&amp;ROW()),收益表!$A$16:$U$10014,21,0)</f>
        <v>111</v>
      </c>
      <c r="N18" s="92"/>
      <c r="O18" s="93"/>
      <c r="P18" s="94"/>
    </row>
    <row r="19" s="2" customFormat="1" spans="1:16">
      <c r="A19" s="44"/>
      <c r="B19" s="45" t="s">
        <v>315</v>
      </c>
      <c r="C19" s="46">
        <v>0.0047</v>
      </c>
      <c r="D19" s="47" t="s">
        <v>89</v>
      </c>
      <c r="E19" s="41">
        <v>-0.0859</v>
      </c>
      <c r="F19" s="35"/>
      <c r="G19" s="42"/>
      <c r="H19" s="48"/>
      <c r="I19" s="48"/>
      <c r="J19" s="48"/>
      <c r="K19" s="41"/>
      <c r="L19" s="19"/>
      <c r="M19" s="19"/>
      <c r="N19" s="95" t="s">
        <v>316</v>
      </c>
      <c r="O19" s="96"/>
      <c r="P19" s="97"/>
    </row>
    <row r="20" s="2" customFormat="1" spans="1:16">
      <c r="A20" s="37">
        <v>45663</v>
      </c>
      <c r="B20" s="38" t="s">
        <v>317</v>
      </c>
      <c r="C20" s="39" t="s">
        <v>89</v>
      </c>
      <c r="D20" s="40" t="s">
        <v>92</v>
      </c>
      <c r="E20" s="41">
        <v>0.0438</v>
      </c>
      <c r="F20" s="35">
        <v>0.1</v>
      </c>
      <c r="G20" s="42">
        <f>(1+F20)*G18</f>
        <v>1.21</v>
      </c>
      <c r="H20" s="48"/>
      <c r="I20" s="48"/>
      <c r="J20" s="48"/>
      <c r="K20" s="41">
        <f ca="1">M20/L20</f>
        <v>1.33823529411765</v>
      </c>
      <c r="L20" s="19">
        <f ca="1">VLOOKUP(INDIRECT("A"&amp;ROW()),收益表!$A$16:$U$10014,20,0)</f>
        <v>68</v>
      </c>
      <c r="M20" s="19">
        <f ca="1">VLOOKUP(INDIRECT("A"&amp;ROW()),收益表!$A$16:$U$10014,21,0)</f>
        <v>91</v>
      </c>
      <c r="N20" s="92"/>
      <c r="O20" s="93"/>
      <c r="P20" s="94"/>
    </row>
    <row r="21" s="2" customFormat="1" spans="1:16">
      <c r="A21" s="37">
        <v>45664</v>
      </c>
      <c r="B21" s="49" t="s">
        <v>318</v>
      </c>
      <c r="C21" s="39">
        <v>-0.0163</v>
      </c>
      <c r="D21" s="40" t="s">
        <v>92</v>
      </c>
      <c r="E21" s="385" t="s">
        <v>319</v>
      </c>
      <c r="F21" s="35">
        <v>0.1</v>
      </c>
      <c r="G21" s="42">
        <f>(1+F21)*G20</f>
        <v>1.331</v>
      </c>
      <c r="H21" s="48"/>
      <c r="I21" s="48"/>
      <c r="J21" s="48"/>
      <c r="K21" s="65">
        <f ca="1">M21/L21</f>
        <v>0.173076923076923</v>
      </c>
      <c r="L21" s="19">
        <f ca="1">VLOOKUP(INDIRECT("A"&amp;ROW()),收益表!$A$16:$U$10014,20,0)</f>
        <v>104</v>
      </c>
      <c r="M21" s="19">
        <f ca="1">VLOOKUP(INDIRECT("A"&amp;ROW()),收益表!$A$16:$U$10014,21,0)</f>
        <v>18</v>
      </c>
      <c r="N21" s="92"/>
      <c r="O21" s="93"/>
      <c r="P21" s="94"/>
    </row>
    <row r="22" s="2" customFormat="1" spans="1:16">
      <c r="A22" s="50"/>
      <c r="B22" s="51" t="s">
        <v>320</v>
      </c>
      <c r="C22" s="46">
        <v>0.0314</v>
      </c>
      <c r="D22" s="47" t="s">
        <v>89</v>
      </c>
      <c r="E22" s="41" t="s">
        <v>92</v>
      </c>
      <c r="F22" s="52"/>
      <c r="G22" s="53"/>
      <c r="H22" s="48"/>
      <c r="I22" s="48"/>
      <c r="J22" s="48"/>
      <c r="K22" s="65"/>
      <c r="L22" s="19"/>
      <c r="M22" s="19"/>
      <c r="N22" s="92" t="s">
        <v>321</v>
      </c>
      <c r="O22" s="93"/>
      <c r="P22" s="94"/>
    </row>
    <row r="23" s="2" customFormat="1" spans="1:16">
      <c r="A23" s="54">
        <v>45665</v>
      </c>
      <c r="B23" s="51" t="s">
        <v>322</v>
      </c>
      <c r="C23" s="46">
        <v>0.0291</v>
      </c>
      <c r="D23" s="47" t="s">
        <v>89</v>
      </c>
      <c r="E23" s="41">
        <v>-0.0531</v>
      </c>
      <c r="F23" s="52"/>
      <c r="G23" s="53"/>
      <c r="H23" s="48"/>
      <c r="I23" s="48"/>
      <c r="J23" s="48"/>
      <c r="K23" s="65">
        <f ca="1">M23/L23</f>
        <v>0.121621621621622</v>
      </c>
      <c r="L23" s="19">
        <f ca="1">VLOOKUP(INDIRECT("A"&amp;ROW()),收益表!$A$16:$U$10014,20,0)</f>
        <v>74</v>
      </c>
      <c r="M23" s="19">
        <f ca="1">VLOOKUP(INDIRECT("A"&amp;ROW()),收益表!$A$16:$U$10014,21,0)</f>
        <v>9</v>
      </c>
      <c r="N23" s="92" t="s">
        <v>323</v>
      </c>
      <c r="O23" s="93"/>
      <c r="P23" s="94"/>
    </row>
    <row r="24" s="2" customFormat="1" spans="1:16">
      <c r="A24" s="55"/>
      <c r="B24" s="56" t="s">
        <v>324</v>
      </c>
      <c r="C24" s="30">
        <v>-0.0677</v>
      </c>
      <c r="D24" s="31">
        <v>0.0726</v>
      </c>
      <c r="E24" s="32">
        <v>-0.0698</v>
      </c>
      <c r="F24" s="52"/>
      <c r="G24" s="53"/>
      <c r="H24" s="48"/>
      <c r="I24" s="48"/>
      <c r="J24" s="48"/>
      <c r="K24" s="65"/>
      <c r="L24" s="19"/>
      <c r="M24" s="19"/>
      <c r="N24" s="95" t="s">
        <v>325</v>
      </c>
      <c r="O24" s="96"/>
      <c r="P24" s="97"/>
    </row>
    <row r="25" s="2" customFormat="1" spans="1:16">
      <c r="A25" s="55"/>
      <c r="B25" s="56" t="s">
        <v>326</v>
      </c>
      <c r="C25" s="30">
        <v>-0.0184</v>
      </c>
      <c r="D25" s="31">
        <v>-0.0238</v>
      </c>
      <c r="E25" s="32">
        <v>-0.02</v>
      </c>
      <c r="F25" s="52"/>
      <c r="G25" s="53"/>
      <c r="H25" s="48"/>
      <c r="I25" s="48"/>
      <c r="J25" s="48"/>
      <c r="K25" s="65"/>
      <c r="L25" s="19"/>
      <c r="M25" s="19"/>
      <c r="N25" s="95" t="s">
        <v>325</v>
      </c>
      <c r="O25" s="96"/>
      <c r="P25" s="97"/>
    </row>
    <row r="26" s="2" customFormat="1" spans="1:16">
      <c r="A26" s="55"/>
      <c r="B26" s="56" t="s">
        <v>327</v>
      </c>
      <c r="C26" s="30">
        <v>0.0166</v>
      </c>
      <c r="D26" s="31">
        <v>0.0225</v>
      </c>
      <c r="E26" s="32">
        <v>-0.0515</v>
      </c>
      <c r="F26" s="52"/>
      <c r="G26" s="53"/>
      <c r="H26" s="48"/>
      <c r="I26" s="48"/>
      <c r="J26" s="48"/>
      <c r="K26" s="65"/>
      <c r="L26" s="19"/>
      <c r="M26" s="19"/>
      <c r="N26" s="95" t="s">
        <v>325</v>
      </c>
      <c r="O26" s="96"/>
      <c r="P26" s="97"/>
    </row>
    <row r="27" s="2" customFormat="1" spans="1:16">
      <c r="A27" s="57"/>
      <c r="B27" s="56" t="s">
        <v>328</v>
      </c>
      <c r="C27" s="30">
        <v>-0.0383</v>
      </c>
      <c r="D27" s="31">
        <v>-0.0607</v>
      </c>
      <c r="E27" s="32" t="s">
        <v>92</v>
      </c>
      <c r="F27" s="52"/>
      <c r="G27" s="53"/>
      <c r="H27" s="48"/>
      <c r="I27" s="48"/>
      <c r="J27" s="48"/>
      <c r="K27" s="65"/>
      <c r="L27" s="19"/>
      <c r="M27" s="19"/>
      <c r="N27" s="95" t="s">
        <v>325</v>
      </c>
      <c r="O27" s="96"/>
      <c r="P27" s="97"/>
    </row>
    <row r="28" s="2" customFormat="1" spans="1:16">
      <c r="A28" s="54">
        <v>45666</v>
      </c>
      <c r="B28" s="58" t="s">
        <v>329</v>
      </c>
      <c r="C28" s="30"/>
      <c r="D28" s="31"/>
      <c r="E28" s="32"/>
      <c r="F28" s="33"/>
      <c r="G28" s="30"/>
      <c r="H28" s="48"/>
      <c r="I28" s="48"/>
      <c r="J28" s="48"/>
      <c r="K28" s="65">
        <f ca="1">M28/L28</f>
        <v>0.11340206185567</v>
      </c>
      <c r="L28" s="19">
        <f ca="1">VLOOKUP(INDIRECT("A"&amp;ROW()),收益表!$A$16:$U$10014,20,0)</f>
        <v>97</v>
      </c>
      <c r="M28" s="19">
        <f ca="1">VLOOKUP(INDIRECT("A"&amp;ROW()),收益表!$A$16:$U$10014,21,0)</f>
        <v>11</v>
      </c>
      <c r="N28" s="92"/>
      <c r="O28" s="93"/>
      <c r="P28" s="94"/>
    </row>
    <row r="29" s="2" customFormat="1" spans="1:16">
      <c r="A29" s="55"/>
      <c r="B29" s="59" t="s">
        <v>330</v>
      </c>
      <c r="C29" s="42">
        <v>-0.0222</v>
      </c>
      <c r="D29" s="60">
        <v>-0.0373</v>
      </c>
      <c r="E29" s="41"/>
      <c r="F29" s="52"/>
      <c r="G29" s="53"/>
      <c r="H29" s="48"/>
      <c r="I29" s="48"/>
      <c r="J29" s="48"/>
      <c r="K29" s="41"/>
      <c r="L29" s="19"/>
      <c r="M29" s="19"/>
      <c r="N29" s="95" t="s">
        <v>325</v>
      </c>
      <c r="O29" s="96"/>
      <c r="P29" s="97"/>
    </row>
    <row r="30" s="2" customFormat="1" spans="1:16">
      <c r="A30" s="57"/>
      <c r="B30" s="58" t="s">
        <v>331</v>
      </c>
      <c r="C30" s="42"/>
      <c r="D30" s="60"/>
      <c r="E30" s="41"/>
      <c r="F30" s="52"/>
      <c r="G30" s="53"/>
      <c r="H30" s="48"/>
      <c r="I30" s="48"/>
      <c r="J30" s="48"/>
      <c r="K30" s="41"/>
      <c r="L30" s="19"/>
      <c r="M30" s="19"/>
      <c r="N30" s="92"/>
      <c r="O30" s="93"/>
      <c r="P30" s="94"/>
    </row>
    <row r="31" s="2" customFormat="1" spans="1:16">
      <c r="A31" s="54">
        <v>45667</v>
      </c>
      <c r="B31" s="59" t="s">
        <v>332</v>
      </c>
      <c r="C31" s="42">
        <v>-0.0209</v>
      </c>
      <c r="D31" s="60">
        <v>0.088</v>
      </c>
      <c r="E31" s="41"/>
      <c r="F31" s="52"/>
      <c r="G31" s="53"/>
      <c r="H31" s="48"/>
      <c r="I31" s="48"/>
      <c r="J31" s="48"/>
      <c r="K31" s="41">
        <f ca="1">M31/L31</f>
        <v>1.18181818181818</v>
      </c>
      <c r="L31" s="19">
        <f ca="1">VLOOKUP(INDIRECT("A"&amp;ROW()),收益表!$A$16:$U$10014,20,0)</f>
        <v>44</v>
      </c>
      <c r="M31" s="19">
        <f ca="1">VLOOKUP(INDIRECT("A"&amp;ROW()),收益表!$A$16:$U$10014,21,0)</f>
        <v>52</v>
      </c>
      <c r="N31" s="92" t="s">
        <v>333</v>
      </c>
      <c r="O31" s="93"/>
      <c r="P31" s="94"/>
    </row>
    <row r="32" s="2" customFormat="1" spans="1:16">
      <c r="A32" s="55"/>
      <c r="B32" s="49" t="s">
        <v>334</v>
      </c>
      <c r="C32" s="39">
        <v>-0.019</v>
      </c>
      <c r="D32" s="40">
        <v>0.0133</v>
      </c>
      <c r="E32" s="41"/>
      <c r="F32" s="61"/>
      <c r="G32" s="62"/>
      <c r="H32" s="48"/>
      <c r="I32" s="48"/>
      <c r="J32" s="48"/>
      <c r="K32" s="98"/>
      <c r="L32" s="19"/>
      <c r="M32" s="19"/>
      <c r="N32" s="92"/>
      <c r="O32" s="93"/>
      <c r="P32" s="94"/>
    </row>
    <row r="33" s="2" customFormat="1" spans="1:16">
      <c r="A33" s="55"/>
      <c r="B33" s="49" t="s">
        <v>335</v>
      </c>
      <c r="C33" s="383" t="s">
        <v>336</v>
      </c>
      <c r="D33" s="40" t="s">
        <v>89</v>
      </c>
      <c r="E33" s="41" t="s">
        <v>89</v>
      </c>
      <c r="F33" s="61"/>
      <c r="G33" s="62"/>
      <c r="H33" s="48"/>
      <c r="I33" s="48"/>
      <c r="J33" s="48"/>
      <c r="K33" s="98"/>
      <c r="L33" s="19"/>
      <c r="M33" s="19"/>
      <c r="N33" s="92" t="s">
        <v>337</v>
      </c>
      <c r="O33" s="93"/>
      <c r="P33" s="94"/>
    </row>
    <row r="34" s="2" customFormat="1" spans="1:16">
      <c r="A34" s="57"/>
      <c r="B34" s="49" t="s">
        <v>338</v>
      </c>
      <c r="C34" s="39">
        <v>0.0845</v>
      </c>
      <c r="D34" s="40">
        <v>-0.0131</v>
      </c>
      <c r="E34" s="41">
        <v>-0.0473</v>
      </c>
      <c r="F34" s="61"/>
      <c r="G34" s="62"/>
      <c r="H34" s="48"/>
      <c r="I34" s="48"/>
      <c r="J34" s="48"/>
      <c r="K34" s="98"/>
      <c r="L34" s="19"/>
      <c r="M34" s="19"/>
      <c r="N34" s="92" t="s">
        <v>337</v>
      </c>
      <c r="O34" s="93"/>
      <c r="P34" s="94"/>
    </row>
    <row r="35" s="2" customFormat="1" spans="1:16">
      <c r="A35" s="29">
        <v>45670</v>
      </c>
      <c r="B35" s="49" t="s">
        <v>339</v>
      </c>
      <c r="C35" s="39">
        <v>-0.09</v>
      </c>
      <c r="D35" s="40" t="s">
        <v>92</v>
      </c>
      <c r="E35" s="41">
        <v>0.0566</v>
      </c>
      <c r="F35" s="61">
        <v>0.1</v>
      </c>
      <c r="G35" s="62">
        <f>(1+F35)*G21</f>
        <v>1.4641</v>
      </c>
      <c r="H35" s="48"/>
      <c r="I35" s="48"/>
      <c r="J35" s="48"/>
      <c r="K35" s="98">
        <f ca="1">M35/L35</f>
        <v>0.788461538461538</v>
      </c>
      <c r="L35" s="19">
        <f ca="1">VLOOKUP(INDIRECT("A"&amp;ROW()),收益表!$A$16:$U$10014,20,0)</f>
        <v>52</v>
      </c>
      <c r="M35" s="19">
        <f ca="1">VLOOKUP(INDIRECT("A"&amp;ROW()),收益表!$A$16:$U$10014,21,0)</f>
        <v>41</v>
      </c>
      <c r="N35" s="92"/>
      <c r="O35" s="93"/>
      <c r="P35" s="94"/>
    </row>
    <row r="36" s="2" customFormat="1" spans="1:16">
      <c r="A36" s="29"/>
      <c r="B36" s="49" t="s">
        <v>340</v>
      </c>
      <c r="C36" s="39">
        <v>-0.0876</v>
      </c>
      <c r="D36" s="40" t="s">
        <v>92</v>
      </c>
      <c r="E36" s="41">
        <v>0.0213</v>
      </c>
      <c r="F36" s="63"/>
      <c r="G36" s="64"/>
      <c r="H36" s="48"/>
      <c r="I36" s="48"/>
      <c r="J36" s="48"/>
      <c r="K36" s="41"/>
      <c r="L36" s="19"/>
      <c r="M36" s="19"/>
      <c r="N36" s="92"/>
      <c r="O36" s="93"/>
      <c r="P36" s="94"/>
    </row>
    <row r="37" s="2" customFormat="1" spans="1:16">
      <c r="A37" s="29"/>
      <c r="B37" s="49" t="s">
        <v>216</v>
      </c>
      <c r="C37" s="39">
        <v>-0.094</v>
      </c>
      <c r="D37" s="40" t="s">
        <v>92</v>
      </c>
      <c r="E37" s="41">
        <v>0.0318</v>
      </c>
      <c r="F37" s="63"/>
      <c r="G37" s="64"/>
      <c r="H37" s="48"/>
      <c r="I37" s="48"/>
      <c r="J37" s="48"/>
      <c r="K37" s="41"/>
      <c r="L37" s="19"/>
      <c r="M37" s="19"/>
      <c r="N37" s="92"/>
      <c r="O37" s="93"/>
      <c r="P37" s="94"/>
    </row>
    <row r="38" s="2" customFormat="1" spans="1:16">
      <c r="A38" s="29">
        <v>45671</v>
      </c>
      <c r="B38" s="59" t="s">
        <v>341</v>
      </c>
      <c r="C38" s="42" t="s">
        <v>89</v>
      </c>
      <c r="D38" s="60">
        <v>0.0377</v>
      </c>
      <c r="E38" s="65" t="s">
        <v>89</v>
      </c>
      <c r="F38" s="61">
        <v>0.027</v>
      </c>
      <c r="G38" s="62">
        <f>(1+F38)*G35</f>
        <v>1.5036307</v>
      </c>
      <c r="H38" s="48"/>
      <c r="I38" s="48"/>
      <c r="J38" s="48"/>
      <c r="K38" s="99">
        <f ca="1">M38/L38</f>
        <v>0.0191082802547771</v>
      </c>
      <c r="L38" s="19">
        <f ca="1">VLOOKUP(INDIRECT("A"&amp;ROW()),收益表!$A$16:$U$10014,20,0)</f>
        <v>157</v>
      </c>
      <c r="M38" s="19">
        <f ca="1">VLOOKUP(INDIRECT("A"&amp;ROW()),收益表!$A$16:$U$10014,21,0)</f>
        <v>3</v>
      </c>
      <c r="N38" s="92"/>
      <c r="O38" s="93"/>
      <c r="P38" s="94"/>
    </row>
    <row r="39" s="2" customFormat="1" spans="1:16">
      <c r="A39" s="29"/>
      <c r="B39" s="59" t="s">
        <v>342</v>
      </c>
      <c r="C39" s="42">
        <v>-0.0918</v>
      </c>
      <c r="D39" s="60">
        <v>0.0146</v>
      </c>
      <c r="E39" s="41" t="s">
        <v>92</v>
      </c>
      <c r="F39" s="66"/>
      <c r="G39" s="67"/>
      <c r="H39" s="48"/>
      <c r="I39" s="48"/>
      <c r="J39" s="48"/>
      <c r="K39" s="100"/>
      <c r="L39" s="19"/>
      <c r="M39" s="19"/>
      <c r="N39" s="92"/>
      <c r="O39" s="93"/>
      <c r="P39" s="94"/>
    </row>
    <row r="40" s="2" customFormat="1" spans="1:16">
      <c r="A40" s="57">
        <v>45672</v>
      </c>
      <c r="B40" s="14"/>
      <c r="C40" s="30"/>
      <c r="D40" s="31"/>
      <c r="E40" s="32"/>
      <c r="F40" s="33"/>
      <c r="G40" s="30"/>
      <c r="H40" s="48"/>
      <c r="I40" s="48"/>
      <c r="J40" s="48"/>
      <c r="K40" s="65">
        <f ca="1">M40/L40</f>
        <v>0.123456790123457</v>
      </c>
      <c r="L40" s="19">
        <f ca="1">VLOOKUP(INDIRECT("A"&amp;ROW()),收益表!$A$16:$U$10014,20,0)</f>
        <v>81</v>
      </c>
      <c r="M40" s="19">
        <f ca="1">VLOOKUP(INDIRECT("A"&amp;ROW()),收益表!$A$16:$U$10014,21,0)</f>
        <v>10</v>
      </c>
      <c r="N40" s="92"/>
      <c r="O40" s="93"/>
      <c r="P40" s="94"/>
    </row>
    <row r="41" s="2" customFormat="1" spans="1:16">
      <c r="A41" s="54">
        <v>45673</v>
      </c>
      <c r="B41" s="68" t="s">
        <v>343</v>
      </c>
      <c r="C41" s="69">
        <v>0.0518</v>
      </c>
      <c r="D41" s="70">
        <v>0.0231</v>
      </c>
      <c r="E41" s="65">
        <v>-0.012</v>
      </c>
      <c r="F41" s="33"/>
      <c r="G41" s="30"/>
      <c r="H41" s="48"/>
      <c r="I41" s="48"/>
      <c r="J41" s="48"/>
      <c r="K41" s="65">
        <f ca="1">M41/L41</f>
        <v>0.0833333333333333</v>
      </c>
      <c r="L41" s="19">
        <f ca="1">VLOOKUP(INDIRECT("A"&amp;ROW()),收益表!$A$16:$U$10014,20,0)</f>
        <v>84</v>
      </c>
      <c r="M41" s="19">
        <f ca="1">VLOOKUP(INDIRECT("A"&amp;ROW()),收益表!$A$16:$U$10014,21,0)</f>
        <v>7</v>
      </c>
      <c r="N41" s="92"/>
      <c r="O41" s="93"/>
      <c r="P41" s="94"/>
    </row>
    <row r="42" s="2" customFormat="1" spans="1:16">
      <c r="A42" s="54">
        <v>45674</v>
      </c>
      <c r="B42" s="68" t="s">
        <v>344</v>
      </c>
      <c r="C42" s="69">
        <v>-0.015</v>
      </c>
      <c r="D42" s="31" t="s">
        <v>92</v>
      </c>
      <c r="E42" s="32">
        <v>-0.026</v>
      </c>
      <c r="F42" s="33"/>
      <c r="G42" s="30"/>
      <c r="H42" s="48"/>
      <c r="I42" s="48"/>
      <c r="J42" s="48"/>
      <c r="K42" s="65">
        <f ca="1">M42/L42</f>
        <v>0.246153846153846</v>
      </c>
      <c r="L42" s="19">
        <f ca="1">VLOOKUP(INDIRECT("A"&amp;ROW()),收益表!$A$16:$U$10014,20,0)</f>
        <v>65</v>
      </c>
      <c r="M42" s="19">
        <f ca="1">VLOOKUP(INDIRECT("A"&amp;ROW()),收益表!$A$16:$U$10014,21,0)</f>
        <v>16</v>
      </c>
      <c r="N42" s="92"/>
      <c r="O42" s="93"/>
      <c r="P42" s="94"/>
    </row>
    <row r="43" s="2" customFormat="1" spans="1:16">
      <c r="A43" s="71">
        <v>45677</v>
      </c>
      <c r="B43" s="72" t="s">
        <v>345</v>
      </c>
      <c r="C43" s="73">
        <v>-4.04</v>
      </c>
      <c r="D43" s="31" t="s">
        <v>92</v>
      </c>
      <c r="E43" s="32">
        <v>-0.0501</v>
      </c>
      <c r="F43" s="74"/>
      <c r="G43" s="75"/>
      <c r="H43" s="48"/>
      <c r="I43" s="48"/>
      <c r="J43" s="48"/>
      <c r="K43" s="65">
        <f ca="1">M43/L43</f>
        <v>0.325</v>
      </c>
      <c r="L43" s="19">
        <f ca="1">VLOOKUP(INDIRECT("A"&amp;ROW()),收益表!$A$16:$U$10014,20,0)</f>
        <v>80</v>
      </c>
      <c r="M43" s="19">
        <f ca="1">VLOOKUP(INDIRECT("A"&amp;ROW()),收益表!$A$16:$U$10014,21,0)</f>
        <v>26</v>
      </c>
      <c r="N43" s="92"/>
      <c r="O43" s="93"/>
      <c r="P43" s="94"/>
    </row>
    <row r="44" s="2" customFormat="1" spans="1:16">
      <c r="A44" s="71"/>
      <c r="B44" s="14" t="s">
        <v>229</v>
      </c>
      <c r="C44" s="30">
        <v>-0.0755</v>
      </c>
      <c r="D44" s="31">
        <v>-0.0733</v>
      </c>
      <c r="E44" s="32" t="s">
        <v>92</v>
      </c>
      <c r="F44" s="74"/>
      <c r="G44" s="75"/>
      <c r="H44" s="48"/>
      <c r="I44" s="48"/>
      <c r="J44" s="48"/>
      <c r="K44" s="41"/>
      <c r="L44" s="19"/>
      <c r="M44" s="19"/>
      <c r="N44" s="92"/>
      <c r="O44" s="93"/>
      <c r="P44" s="94"/>
    </row>
    <row r="45" s="2" customFormat="1" spans="1:16">
      <c r="A45" s="71"/>
      <c r="B45" s="14" t="s">
        <v>346</v>
      </c>
      <c r="C45" s="30">
        <v>-0.0908</v>
      </c>
      <c r="D45" s="31">
        <v>0.0256</v>
      </c>
      <c r="E45" s="32" t="s">
        <v>92</v>
      </c>
      <c r="F45" s="74"/>
      <c r="G45" s="75"/>
      <c r="H45" s="48"/>
      <c r="I45" s="48"/>
      <c r="J45" s="48"/>
      <c r="K45" s="41"/>
      <c r="L45" s="19"/>
      <c r="M45" s="19"/>
      <c r="N45" s="92"/>
      <c r="O45" s="93"/>
      <c r="P45" s="94"/>
    </row>
    <row r="46" s="2" customFormat="1" spans="1:16">
      <c r="A46" s="71">
        <v>45678</v>
      </c>
      <c r="B46" s="14"/>
      <c r="C46" s="30"/>
      <c r="D46" s="31"/>
      <c r="E46" s="32"/>
      <c r="F46" s="33"/>
      <c r="G46" s="30"/>
      <c r="H46" s="48"/>
      <c r="I46" s="48"/>
      <c r="J46" s="48"/>
      <c r="K46" s="41">
        <f ca="1">M46/L46</f>
        <v>0.519230769230769</v>
      </c>
      <c r="L46" s="19">
        <f ca="1">VLOOKUP(INDIRECT("A"&amp;ROW()),收益表!$A$16:$U$10014,20,0)</f>
        <v>52</v>
      </c>
      <c r="M46" s="19">
        <f ca="1">VLOOKUP(INDIRECT("A"&amp;ROW()),收益表!$A$16:$U$10014,21,0)</f>
        <v>27</v>
      </c>
      <c r="N46" s="92"/>
      <c r="O46" s="93"/>
      <c r="P46" s="94"/>
    </row>
    <row r="47" s="2" customFormat="1" spans="1:16">
      <c r="A47" s="71">
        <v>45679</v>
      </c>
      <c r="B47" s="14"/>
      <c r="C47" s="30"/>
      <c r="D47" s="31"/>
      <c r="E47" s="32"/>
      <c r="F47" s="33"/>
      <c r="G47" s="30"/>
      <c r="H47" s="48"/>
      <c r="I47" s="48"/>
      <c r="J47" s="48"/>
      <c r="K47" s="41">
        <f ca="1">M47/L47</f>
        <v>0.541666666666667</v>
      </c>
      <c r="L47" s="19">
        <f ca="1">VLOOKUP(INDIRECT("A"&amp;ROW()),收益表!$A$16:$U$10014,20,0)</f>
        <v>48</v>
      </c>
      <c r="M47" s="19">
        <f ca="1">VLOOKUP(INDIRECT("A"&amp;ROW()),收益表!$A$16:$U$10014,21,0)</f>
        <v>26</v>
      </c>
      <c r="N47" s="92"/>
      <c r="O47" s="93"/>
      <c r="P47" s="94"/>
    </row>
    <row r="48" s="2" customFormat="1" spans="1:16">
      <c r="A48" s="29">
        <v>45680</v>
      </c>
      <c r="B48" s="38" t="s">
        <v>347</v>
      </c>
      <c r="C48" s="39">
        <v>-0.0647</v>
      </c>
      <c r="D48" s="40" t="s">
        <v>92</v>
      </c>
      <c r="E48" s="385" t="s">
        <v>348</v>
      </c>
      <c r="F48" s="35">
        <v>0.1</v>
      </c>
      <c r="G48" s="42">
        <f>(1+F48)*G38</f>
        <v>1.65399377</v>
      </c>
      <c r="H48" s="48"/>
      <c r="I48" s="48"/>
      <c r="J48" s="48"/>
      <c r="K48" s="41">
        <f ca="1">M48/L48</f>
        <v>0.630434782608696</v>
      </c>
      <c r="L48" s="19">
        <f ca="1">VLOOKUP(INDIRECT("A"&amp;ROW()),收益表!$A$16:$U$10014,20,0)</f>
        <v>46</v>
      </c>
      <c r="M48" s="19">
        <f ca="1">VLOOKUP(INDIRECT("A"&amp;ROW()),收益表!$A$16:$U$10014,21,0)</f>
        <v>29</v>
      </c>
      <c r="N48" s="92"/>
      <c r="O48" s="93"/>
      <c r="P48" s="94"/>
    </row>
    <row r="49" s="2" customFormat="1" spans="1:16">
      <c r="A49" s="54">
        <v>45681</v>
      </c>
      <c r="B49" s="14" t="s">
        <v>349</v>
      </c>
      <c r="C49" s="30"/>
      <c r="D49" s="31"/>
      <c r="E49" s="32"/>
      <c r="F49" s="33"/>
      <c r="G49" s="30"/>
      <c r="H49" s="48"/>
      <c r="I49" s="48"/>
      <c r="J49" s="48"/>
      <c r="K49" s="41">
        <f ca="1">M49/L49</f>
        <v>0.391891891891892</v>
      </c>
      <c r="L49" s="19">
        <f ca="1">VLOOKUP(INDIRECT("A"&amp;ROW()),收益表!$A$16:$U$10014,20,0)</f>
        <v>74</v>
      </c>
      <c r="M49" s="19">
        <f ca="1">VLOOKUP(INDIRECT("A"&amp;ROW()),收益表!$A$16:$U$10014,21,0)</f>
        <v>29</v>
      </c>
      <c r="N49" s="92"/>
      <c r="O49" s="93"/>
      <c r="P49" s="94"/>
    </row>
    <row r="50" s="2" customFormat="1" spans="1:16">
      <c r="A50" s="57"/>
      <c r="B50" s="14" t="s">
        <v>350</v>
      </c>
      <c r="C50" s="30"/>
      <c r="D50" s="31"/>
      <c r="E50" s="32"/>
      <c r="F50" s="33"/>
      <c r="G50" s="30"/>
      <c r="H50" s="48"/>
      <c r="I50" s="48"/>
      <c r="J50" s="48"/>
      <c r="K50" s="41"/>
      <c r="L50" s="19"/>
      <c r="M50" s="19"/>
      <c r="N50" s="92"/>
      <c r="O50" s="93"/>
      <c r="P50" s="94"/>
    </row>
    <row r="51" spans="1:16">
      <c r="A51" s="29">
        <v>45684</v>
      </c>
      <c r="B51" s="38" t="s">
        <v>351</v>
      </c>
      <c r="C51" s="39" t="s">
        <v>89</v>
      </c>
      <c r="D51" s="40" t="s">
        <v>352</v>
      </c>
      <c r="E51" s="41">
        <v>-0.0136</v>
      </c>
      <c r="F51" s="35">
        <v>0.1</v>
      </c>
      <c r="G51" s="42">
        <f>(1+F51)*G48</f>
        <v>1.819393147</v>
      </c>
      <c r="H51" s="48"/>
      <c r="I51" s="48"/>
      <c r="J51" s="48"/>
      <c r="K51" s="41">
        <f ca="1" t="shared" ref="K51:K65" si="0">M51/L51</f>
        <v>1.06666666666667</v>
      </c>
      <c r="L51" s="19">
        <f ca="1">VLOOKUP(INDIRECT("A"&amp;ROW()),收益表!$A$16:$U$10014,20,0)</f>
        <v>45</v>
      </c>
      <c r="M51" s="19">
        <f ca="1">VLOOKUP(INDIRECT("A"&amp;ROW()),收益表!$A$16:$U$10014,21,0)</f>
        <v>48</v>
      </c>
      <c r="N51" s="92"/>
      <c r="O51" s="93"/>
      <c r="P51" s="94"/>
    </row>
    <row r="52" spans="1:16">
      <c r="A52" s="76">
        <v>45693</v>
      </c>
      <c r="B52" s="14"/>
      <c r="C52" s="30"/>
      <c r="D52" s="31"/>
      <c r="E52" s="32"/>
      <c r="F52" s="33"/>
      <c r="G52" s="33"/>
      <c r="H52" s="77" t="s">
        <v>353</v>
      </c>
      <c r="I52" s="77"/>
      <c r="J52" s="77"/>
      <c r="K52" s="35">
        <f ca="1" t="shared" si="0"/>
        <v>0.542168674698795</v>
      </c>
      <c r="L52" s="19">
        <f ca="1">VLOOKUP(INDIRECT("A"&amp;ROW()),收益表!$A$16:$U$10014,20,0)</f>
        <v>83</v>
      </c>
      <c r="M52" s="19">
        <f ca="1">VLOOKUP(INDIRECT("A"&amp;ROW()),收益表!$A$16:$U$10014,21,0)</f>
        <v>45</v>
      </c>
      <c r="N52" s="92"/>
      <c r="O52" s="93"/>
      <c r="P52" s="94"/>
    </row>
    <row r="53" spans="1:16">
      <c r="A53" s="78">
        <v>45694</v>
      </c>
      <c r="B53" s="72" t="s">
        <v>354</v>
      </c>
      <c r="C53" s="42"/>
      <c r="D53" s="60"/>
      <c r="E53" s="41"/>
      <c r="F53" s="35"/>
      <c r="G53" s="35"/>
      <c r="H53" s="77"/>
      <c r="I53" s="77"/>
      <c r="J53" s="77"/>
      <c r="K53" s="101">
        <f ca="1" t="shared" si="0"/>
        <v>0.0396039603960396</v>
      </c>
      <c r="L53" s="19">
        <f ca="1">VLOOKUP(INDIRECT("A"&amp;ROW()),收益表!$A$16:$U$10014,20,0)</f>
        <v>101</v>
      </c>
      <c r="M53" s="19">
        <f ca="1">VLOOKUP(INDIRECT("A"&amp;ROW()),收益表!$A$16:$U$10014,21,0)</f>
        <v>4</v>
      </c>
      <c r="N53" s="92"/>
      <c r="O53" s="93"/>
      <c r="P53" s="94"/>
    </row>
    <row r="54" spans="1:16">
      <c r="A54" s="76">
        <v>45695</v>
      </c>
      <c r="B54" s="14" t="s">
        <v>198</v>
      </c>
      <c r="C54" s="30"/>
      <c r="D54" s="31"/>
      <c r="E54" s="32"/>
      <c r="F54" s="33"/>
      <c r="G54" s="33"/>
      <c r="H54" s="77"/>
      <c r="I54" s="77"/>
      <c r="J54" s="77"/>
      <c r="K54" s="101">
        <f ca="1" t="shared" si="0"/>
        <v>0.021505376344086</v>
      </c>
      <c r="L54" s="19">
        <f ca="1">VLOOKUP(INDIRECT("A"&amp;ROW()),收益表!$A$16:$U$10014,20,0)</f>
        <v>93</v>
      </c>
      <c r="M54" s="19">
        <f ca="1">VLOOKUP(INDIRECT("A"&amp;ROW()),收益表!$A$16:$U$10014,21,0)</f>
        <v>2</v>
      </c>
      <c r="N54" s="92"/>
      <c r="O54" s="93"/>
      <c r="P54" s="94"/>
    </row>
    <row r="55" spans="1:16">
      <c r="A55" s="76">
        <v>45698</v>
      </c>
      <c r="B55" s="14"/>
      <c r="C55" s="30"/>
      <c r="D55" s="31"/>
      <c r="E55" s="32"/>
      <c r="F55" s="33"/>
      <c r="G55" s="33"/>
      <c r="H55" s="77"/>
      <c r="I55" s="77"/>
      <c r="J55" s="77"/>
      <c r="K55" s="101">
        <f ca="1" t="shared" si="0"/>
        <v>0.0142857142857143</v>
      </c>
      <c r="L55" s="19">
        <f ca="1">VLOOKUP(INDIRECT("A"&amp;ROW()),收益表!$A$16:$U$10014,20,0)</f>
        <v>140</v>
      </c>
      <c r="M55" s="19">
        <f ca="1">VLOOKUP(INDIRECT("A"&amp;ROW()),收益表!$A$16:$U$10014,21,0)</f>
        <v>2</v>
      </c>
      <c r="N55" s="92"/>
      <c r="O55" s="93"/>
      <c r="P55" s="94"/>
    </row>
    <row r="56" spans="1:16">
      <c r="A56" s="76">
        <v>45699</v>
      </c>
      <c r="B56" s="14" t="s">
        <v>355</v>
      </c>
      <c r="C56" s="30"/>
      <c r="D56" s="31"/>
      <c r="E56" s="32"/>
      <c r="F56" s="33"/>
      <c r="G56" s="33"/>
      <c r="H56" s="77"/>
      <c r="I56" s="77"/>
      <c r="J56" s="77"/>
      <c r="K56" s="101">
        <f ca="1" t="shared" si="0"/>
        <v>0.0238095238095238</v>
      </c>
      <c r="L56" s="19">
        <f ca="1">VLOOKUP(INDIRECT("A"&amp;ROW()),收益表!$A$16:$U$10014,20,0)</f>
        <v>84</v>
      </c>
      <c r="M56" s="19">
        <f ca="1">VLOOKUP(INDIRECT("A"&amp;ROW()),收益表!$A$16:$U$10014,21,0)</f>
        <v>2</v>
      </c>
      <c r="N56" s="92"/>
      <c r="O56" s="93"/>
      <c r="P56" s="94"/>
    </row>
    <row r="57" spans="1:16">
      <c r="A57" s="76">
        <v>45700</v>
      </c>
      <c r="B57" s="14" t="s">
        <v>356</v>
      </c>
      <c r="C57" s="30"/>
      <c r="D57" s="31"/>
      <c r="E57" s="32"/>
      <c r="F57" s="33"/>
      <c r="G57" s="33"/>
      <c r="H57" s="77"/>
      <c r="I57" s="77"/>
      <c r="J57" s="77"/>
      <c r="K57" s="101">
        <f ca="1" t="shared" si="0"/>
        <v>0.0210526315789474</v>
      </c>
      <c r="L57" s="19">
        <f ca="1">VLOOKUP(INDIRECT("A"&amp;ROW()),收益表!$A$16:$U$10014,20,0)</f>
        <v>95</v>
      </c>
      <c r="M57" s="19">
        <f ca="1">VLOOKUP(INDIRECT("A"&amp;ROW()),收益表!$A$16:$U$10014,21,0)</f>
        <v>2</v>
      </c>
      <c r="N57" s="92"/>
      <c r="O57" s="93"/>
      <c r="P57" s="94"/>
    </row>
    <row r="58" spans="1:16">
      <c r="A58" s="79">
        <v>45701</v>
      </c>
      <c r="B58" s="14" t="s">
        <v>357</v>
      </c>
      <c r="C58" s="30"/>
      <c r="D58" s="31"/>
      <c r="E58" s="32"/>
      <c r="F58" s="33"/>
      <c r="G58" s="33"/>
      <c r="H58" s="77"/>
      <c r="I58" s="77"/>
      <c r="J58" s="77"/>
      <c r="K58" s="101">
        <f ca="1" t="shared" si="0"/>
        <v>0.0945945945945946</v>
      </c>
      <c r="L58" s="19">
        <f ca="1">VLOOKUP(INDIRECT("A"&amp;ROW()),收益表!$A$16:$U$10014,20,0)</f>
        <v>74</v>
      </c>
      <c r="M58" s="19">
        <f ca="1">VLOOKUP(INDIRECT("A"&amp;ROW()),收益表!$A$16:$U$10014,21,0)</f>
        <v>7</v>
      </c>
      <c r="N58" s="92"/>
      <c r="O58" s="93"/>
      <c r="P58" s="94"/>
    </row>
    <row r="59" spans="1:16">
      <c r="A59" s="80"/>
      <c r="B59" s="14" t="s">
        <v>358</v>
      </c>
      <c r="C59" s="30"/>
      <c r="D59" s="31"/>
      <c r="E59" s="32"/>
      <c r="F59" s="33"/>
      <c r="G59" s="33"/>
      <c r="H59" s="77"/>
      <c r="I59" s="77"/>
      <c r="J59" s="77"/>
      <c r="K59" s="101"/>
      <c r="L59" s="19"/>
      <c r="M59" s="19"/>
      <c r="N59" s="92"/>
      <c r="O59" s="93"/>
      <c r="P59" s="94"/>
    </row>
    <row r="60" spans="1:16">
      <c r="A60" s="81"/>
      <c r="B60" s="14" t="s">
        <v>359</v>
      </c>
      <c r="C60" s="30"/>
      <c r="D60" s="31"/>
      <c r="E60" s="32"/>
      <c r="F60" s="33"/>
      <c r="G60" s="33"/>
      <c r="H60" s="77"/>
      <c r="I60" s="77"/>
      <c r="J60" s="77"/>
      <c r="K60" s="101"/>
      <c r="L60" s="19"/>
      <c r="M60" s="19"/>
      <c r="N60" s="92"/>
      <c r="O60" s="93"/>
      <c r="P60" s="94"/>
    </row>
    <row r="61" spans="1:16">
      <c r="A61" s="76">
        <v>45702</v>
      </c>
      <c r="B61" s="14" t="s">
        <v>360</v>
      </c>
      <c r="C61" s="30"/>
      <c r="D61" s="31"/>
      <c r="E61" s="32"/>
      <c r="F61" s="33"/>
      <c r="G61" s="33"/>
      <c r="H61" s="77"/>
      <c r="I61" s="77"/>
      <c r="J61" s="77"/>
      <c r="K61" s="101">
        <f ca="1">M61/L61</f>
        <v>0.103448275862069</v>
      </c>
      <c r="L61" s="19">
        <f ca="1">VLOOKUP(INDIRECT("A"&amp;ROW()),收益表!$A$16:$U$10014,20,0)</f>
        <v>87</v>
      </c>
      <c r="M61" s="19">
        <f ca="1">VLOOKUP(INDIRECT("A"&amp;ROW()),收益表!$A$16:$U$10014,21,0)</f>
        <v>9</v>
      </c>
      <c r="N61" s="92"/>
      <c r="O61" s="93"/>
      <c r="P61" s="94"/>
    </row>
    <row r="62" spans="1:16">
      <c r="A62" s="76"/>
      <c r="B62" s="14" t="s">
        <v>361</v>
      </c>
      <c r="C62" s="30"/>
      <c r="D62" s="31"/>
      <c r="E62" s="32"/>
      <c r="F62" s="33"/>
      <c r="G62" s="33"/>
      <c r="H62" s="82"/>
      <c r="I62" s="82"/>
      <c r="J62" s="82"/>
      <c r="K62" s="101"/>
      <c r="L62" s="19"/>
      <c r="M62" s="19"/>
      <c r="N62" s="92"/>
      <c r="O62" s="93"/>
      <c r="P62" s="94"/>
    </row>
    <row r="63" spans="1:16">
      <c r="A63" s="76">
        <v>45705</v>
      </c>
      <c r="B63" s="14" t="s">
        <v>362</v>
      </c>
      <c r="C63" s="30"/>
      <c r="D63" s="31"/>
      <c r="E63" s="32"/>
      <c r="F63" s="33"/>
      <c r="G63" s="33"/>
      <c r="H63" s="82"/>
      <c r="I63" s="82"/>
      <c r="J63" s="82"/>
      <c r="K63" s="101">
        <f ca="1">M63/L63</f>
        <v>0.0614035087719298</v>
      </c>
      <c r="L63" s="19">
        <f ca="1">VLOOKUP(INDIRECT("A"&amp;ROW()),收益表!$A$16:$U$10014,20,0)</f>
        <v>114</v>
      </c>
      <c r="M63" s="19">
        <f ca="1">VLOOKUP(INDIRECT("A"&amp;ROW()),收益表!$A$16:$U$10014,21,0)</f>
        <v>7</v>
      </c>
      <c r="N63" s="92"/>
      <c r="O63" s="93"/>
      <c r="P63" s="94"/>
    </row>
    <row r="64" spans="1:16">
      <c r="A64" s="76">
        <v>45706</v>
      </c>
      <c r="B64" s="14" t="s">
        <v>208</v>
      </c>
      <c r="C64" s="30"/>
      <c r="D64" s="31"/>
      <c r="E64" s="32"/>
      <c r="F64" s="33"/>
      <c r="G64" s="33"/>
      <c r="H64" s="82"/>
      <c r="I64" s="82"/>
      <c r="J64" s="82"/>
      <c r="K64" s="101">
        <f ca="1">M64/L64</f>
        <v>0.39622641509434</v>
      </c>
      <c r="L64" s="19">
        <f ca="1">VLOOKUP(INDIRECT("A"&amp;ROW()),收益表!$A$16:$U$10014,20,0)</f>
        <v>53</v>
      </c>
      <c r="M64" s="19">
        <f ca="1">VLOOKUP(INDIRECT("A"&amp;ROW()),收益表!$A$16:$U$10014,21,0)</f>
        <v>21</v>
      </c>
      <c r="N64" s="92"/>
      <c r="O64" s="93"/>
      <c r="P64" s="94"/>
    </row>
    <row r="65" spans="1:16">
      <c r="A65" s="79">
        <v>45707</v>
      </c>
      <c r="B65" s="14" t="s">
        <v>363</v>
      </c>
      <c r="C65" s="30"/>
      <c r="D65" s="31"/>
      <c r="E65" s="32"/>
      <c r="F65" s="33"/>
      <c r="G65" s="30"/>
      <c r="H65" s="82"/>
      <c r="I65" s="82"/>
      <c r="J65" s="82"/>
      <c r="K65" s="101">
        <f ca="1">M65/L65</f>
        <v>0.0333333333333333</v>
      </c>
      <c r="L65" s="19">
        <f ca="1">VLOOKUP(INDIRECT("A"&amp;ROW()),收益表!$A$16:$U$10014,20,0)</f>
        <v>120</v>
      </c>
      <c r="M65" s="19">
        <f ca="1">VLOOKUP(INDIRECT("A"&amp;ROW()),收益表!$A$16:$U$10014,21,0)</f>
        <v>4</v>
      </c>
      <c r="N65" s="92"/>
      <c r="O65" s="93"/>
      <c r="P65" s="94"/>
    </row>
    <row r="66" spans="1:16">
      <c r="A66" s="102">
        <v>45708</v>
      </c>
      <c r="B66" s="14" t="s">
        <v>364</v>
      </c>
      <c r="C66" s="30"/>
      <c r="D66" s="31"/>
      <c r="E66" s="32"/>
      <c r="F66" s="33"/>
      <c r="G66" s="33"/>
      <c r="H66" s="82"/>
      <c r="I66" s="82"/>
      <c r="J66" s="82"/>
      <c r="K66" s="101">
        <f ca="1">M66/L66</f>
        <v>0.00934579439252336</v>
      </c>
      <c r="L66" s="19">
        <f ca="1">VLOOKUP(INDIRECT("A"&amp;ROW()),收益表!$A$16:$U$10014,20,0)</f>
        <v>107</v>
      </c>
      <c r="M66" s="19">
        <f ca="1">VLOOKUP(INDIRECT("A"&amp;ROW()),收益表!$A$16:$U$10014,21,0)</f>
        <v>1</v>
      </c>
      <c r="N66" s="92"/>
      <c r="O66" s="93"/>
      <c r="P66" s="94"/>
    </row>
    <row r="67" spans="1:16">
      <c r="A67" s="103"/>
      <c r="B67" s="14" t="s">
        <v>365</v>
      </c>
      <c r="C67" s="30"/>
      <c r="D67" s="31"/>
      <c r="E67" s="104"/>
      <c r="F67" s="33"/>
      <c r="G67" s="33"/>
      <c r="K67" s="101"/>
      <c r="L67" s="19"/>
      <c r="M67" s="19"/>
      <c r="N67" s="92"/>
      <c r="O67" s="93"/>
      <c r="P67" s="94"/>
    </row>
    <row r="68" spans="1:16">
      <c r="A68" s="105"/>
      <c r="B68" s="14" t="s">
        <v>237</v>
      </c>
      <c r="C68" s="30"/>
      <c r="D68" s="31"/>
      <c r="E68" s="104"/>
      <c r="F68" s="33"/>
      <c r="G68" s="33"/>
      <c r="K68" s="101"/>
      <c r="L68" s="19"/>
      <c r="M68" s="19"/>
      <c r="N68" s="92"/>
      <c r="O68" s="93"/>
      <c r="P68" s="94"/>
    </row>
    <row r="69" spans="1:16">
      <c r="A69" s="106">
        <v>45709</v>
      </c>
      <c r="B69" s="14" t="s">
        <v>366</v>
      </c>
      <c r="C69" s="30"/>
      <c r="D69" s="31"/>
      <c r="E69" s="104"/>
      <c r="F69" s="33"/>
      <c r="G69" s="33"/>
      <c r="H69" s="7"/>
      <c r="I69" s="7"/>
      <c r="J69" s="7"/>
      <c r="K69" s="101">
        <f ca="1">M69/L69</f>
        <v>0.0336134453781513</v>
      </c>
      <c r="L69" s="19">
        <f ca="1">VLOOKUP(INDIRECT("A"&amp;ROW()),收益表!$A$16:$U$10014,20,0)</f>
        <v>119</v>
      </c>
      <c r="M69" s="19">
        <f ca="1">VLOOKUP(INDIRECT("A"&amp;ROW()),收益表!$A$16:$U$10014,21,0)</f>
        <v>4</v>
      </c>
      <c r="N69" s="92"/>
      <c r="O69" s="93"/>
      <c r="P69" s="94"/>
    </row>
    <row r="70" ht="16.25" spans="1:16">
      <c r="A70" s="107"/>
      <c r="B70" s="68" t="s">
        <v>367</v>
      </c>
      <c r="C70" s="69"/>
      <c r="D70" s="108"/>
      <c r="E70" s="36"/>
      <c r="F70" s="109"/>
      <c r="G70" s="61"/>
      <c r="H70" s="7"/>
      <c r="I70" s="7"/>
      <c r="J70" s="7"/>
      <c r="K70" s="121"/>
      <c r="L70" s="19"/>
      <c r="M70" s="19"/>
      <c r="N70" s="92"/>
      <c r="O70" s="93"/>
      <c r="P70" s="94"/>
    </row>
    <row r="71" ht="16.25" spans="1:16">
      <c r="A71" s="102">
        <v>45712</v>
      </c>
      <c r="B71" s="68" t="s">
        <v>368</v>
      </c>
      <c r="C71" s="69"/>
      <c r="D71" s="108"/>
      <c r="E71" s="110"/>
      <c r="F71" s="109"/>
      <c r="G71" s="61">
        <f>(1+F71)*G53</f>
        <v>0</v>
      </c>
      <c r="H71" s="7"/>
      <c r="I71" s="7"/>
      <c r="J71" s="7"/>
      <c r="K71" s="121">
        <f ca="1">M71/L71</f>
        <v>0.197802197802198</v>
      </c>
      <c r="L71" s="19">
        <f ca="1">VLOOKUP(INDIRECT("A"&amp;ROW()),收益表!$A$16:$U$10014,20,0)</f>
        <v>91</v>
      </c>
      <c r="M71" s="19">
        <f ca="1">VLOOKUP(INDIRECT("A"&amp;ROW()),收益表!$A$16:$U$10014,21,0)</f>
        <v>18</v>
      </c>
      <c r="N71" s="92"/>
      <c r="O71" s="93"/>
      <c r="P71" s="94"/>
    </row>
    <row r="72" ht="16.25" spans="1:16">
      <c r="A72" s="103"/>
      <c r="B72" s="72" t="s">
        <v>369</v>
      </c>
      <c r="C72" s="42"/>
      <c r="D72" s="111"/>
      <c r="E72" s="112"/>
      <c r="F72" s="98"/>
      <c r="G72" s="66"/>
      <c r="H72" s="7"/>
      <c r="I72" s="7"/>
      <c r="J72" s="7"/>
      <c r="K72" s="122"/>
      <c r="L72" s="19"/>
      <c r="M72" s="19"/>
      <c r="N72" s="92"/>
      <c r="O72" s="93"/>
      <c r="P72" s="94"/>
    </row>
    <row r="73" spans="1:16">
      <c r="A73" s="105"/>
      <c r="B73" s="14" t="s">
        <v>370</v>
      </c>
      <c r="C73" s="30"/>
      <c r="D73" s="113"/>
      <c r="E73" s="7"/>
      <c r="F73" s="114"/>
      <c r="G73" s="74"/>
      <c r="H73" s="7"/>
      <c r="I73" s="7"/>
      <c r="J73" s="7"/>
      <c r="K73" s="122"/>
      <c r="L73" s="19"/>
      <c r="M73" s="19"/>
      <c r="N73" s="92"/>
      <c r="O73" s="93"/>
      <c r="P73" s="94"/>
    </row>
    <row r="74" spans="1:16">
      <c r="A74" s="115">
        <v>45713</v>
      </c>
      <c r="B74" s="14" t="s">
        <v>371</v>
      </c>
      <c r="C74" s="30"/>
      <c r="D74" s="31"/>
      <c r="E74" s="114"/>
      <c r="F74" s="33"/>
      <c r="G74" s="33"/>
      <c r="H74" s="7"/>
      <c r="I74" s="7"/>
      <c r="J74" s="7"/>
      <c r="K74" s="101">
        <f ca="1">M74/L74</f>
        <v>0.107692307692308</v>
      </c>
      <c r="L74" s="19">
        <f ca="1">VLOOKUP(INDIRECT("A"&amp;ROW()),收益表!$A$16:$U$10014,20,0)</f>
        <v>65</v>
      </c>
      <c r="M74" s="19">
        <f ca="1">VLOOKUP(INDIRECT("A"&amp;ROW()),收益表!$A$16:$U$10014,21,0)</f>
        <v>7</v>
      </c>
      <c r="N74" s="92"/>
      <c r="O74" s="93"/>
      <c r="P74" s="94"/>
    </row>
    <row r="75" spans="1:16">
      <c r="A75" s="115">
        <v>45714</v>
      </c>
      <c r="B75" s="14" t="s">
        <v>221</v>
      </c>
      <c r="C75" s="30"/>
      <c r="D75" s="31"/>
      <c r="E75" s="32"/>
      <c r="F75" s="33"/>
      <c r="G75" s="33"/>
      <c r="H75" s="7"/>
      <c r="I75" s="7"/>
      <c r="J75" s="7"/>
      <c r="K75" s="101">
        <f ca="1">M75/L75</f>
        <v>0.0277777777777778</v>
      </c>
      <c r="L75" s="19">
        <f ca="1">VLOOKUP(INDIRECT("A"&amp;ROW()),收益表!$A$16:$U$10014,20,0)</f>
        <v>108</v>
      </c>
      <c r="M75" s="19">
        <f ca="1">VLOOKUP(INDIRECT("A"&amp;ROW()),收益表!$A$16:$U$10014,21,0)</f>
        <v>3</v>
      </c>
      <c r="N75" s="92"/>
      <c r="O75" s="93"/>
      <c r="P75" s="94"/>
    </row>
    <row r="76" spans="1:16">
      <c r="A76" s="115">
        <v>45715</v>
      </c>
      <c r="B76" s="14" t="s">
        <v>372</v>
      </c>
      <c r="C76" s="30"/>
      <c r="D76" s="31"/>
      <c r="E76" s="32"/>
      <c r="F76" s="33"/>
      <c r="G76" s="33"/>
      <c r="H76" s="7"/>
      <c r="I76" s="7"/>
      <c r="J76" s="7"/>
      <c r="K76" s="101">
        <f ca="1">M76/L76</f>
        <v>0.133333333333333</v>
      </c>
      <c r="L76" s="19">
        <f ca="1">VLOOKUP(INDIRECT("A"&amp;ROW()),收益表!$A$16:$U$10014,20,0)</f>
        <v>90</v>
      </c>
      <c r="M76" s="19">
        <f ca="1">VLOOKUP(INDIRECT("A"&amp;ROW()),收益表!$A$16:$U$10014,21,0)</f>
        <v>12</v>
      </c>
      <c r="N76" s="92"/>
      <c r="O76" s="93"/>
      <c r="P76" s="94"/>
    </row>
    <row r="77" spans="1:16">
      <c r="A77" s="116">
        <v>45716</v>
      </c>
      <c r="B77" s="14" t="s">
        <v>107</v>
      </c>
      <c r="C77" s="30"/>
      <c r="D77" s="31"/>
      <c r="E77" s="32"/>
      <c r="F77" s="33"/>
      <c r="G77" s="33"/>
      <c r="H77" s="7"/>
      <c r="I77" s="7"/>
      <c r="J77" s="7"/>
      <c r="K77" s="35">
        <f ca="1">M77/L77</f>
        <v>0.839285714285714</v>
      </c>
      <c r="L77" s="19">
        <f ca="1">VLOOKUP(INDIRECT("A"&amp;ROW()),收益表!$A$16:$U$10014,20,0)</f>
        <v>56</v>
      </c>
      <c r="M77" s="19">
        <f ca="1">VLOOKUP(INDIRECT("A"&amp;ROW()),收益表!$A$16:$U$10014,21,0)</f>
        <v>47</v>
      </c>
      <c r="N77" s="92"/>
      <c r="O77" s="93"/>
      <c r="P77" s="94"/>
    </row>
    <row r="78" spans="1:16">
      <c r="A78" s="117"/>
      <c r="B78" s="14" t="s">
        <v>373</v>
      </c>
      <c r="C78" s="30"/>
      <c r="D78" s="31"/>
      <c r="E78" s="32"/>
      <c r="F78" s="33"/>
      <c r="G78" s="33"/>
      <c r="K78" s="35"/>
      <c r="L78" s="19"/>
      <c r="M78" s="19"/>
      <c r="N78" s="92"/>
      <c r="O78" s="93"/>
      <c r="P78" s="94"/>
    </row>
    <row r="79" spans="1:16">
      <c r="A79" s="115">
        <v>45719</v>
      </c>
      <c r="B79" s="14"/>
      <c r="C79" s="30"/>
      <c r="D79" s="31"/>
      <c r="E79" s="32"/>
      <c r="F79" s="33"/>
      <c r="G79" s="33"/>
      <c r="K79" s="35">
        <f ca="1">M79/L79</f>
        <v>0.485714285714286</v>
      </c>
      <c r="L79" s="19">
        <f ca="1">VLOOKUP(INDIRECT("A"&amp;ROW()),收益表!$A$16:$U$10014,20,0)</f>
        <v>70</v>
      </c>
      <c r="M79" s="19">
        <f ca="1">VLOOKUP(INDIRECT("A"&amp;ROW()),收益表!$A$16:$U$10014,21,0)</f>
        <v>34</v>
      </c>
      <c r="N79" s="92"/>
      <c r="O79" s="93"/>
      <c r="P79" s="94"/>
    </row>
    <row r="80" spans="1:16">
      <c r="A80" s="102">
        <v>45720</v>
      </c>
      <c r="B80" s="14" t="s">
        <v>374</v>
      </c>
      <c r="C80" s="30"/>
      <c r="D80" s="31"/>
      <c r="E80" s="32"/>
      <c r="F80" s="33"/>
      <c r="G80" s="33"/>
      <c r="K80" s="35"/>
      <c r="L80" s="19"/>
      <c r="M80" s="19"/>
      <c r="N80" s="92"/>
      <c r="O80" s="93"/>
      <c r="P80" s="94"/>
    </row>
    <row r="81" spans="1:16">
      <c r="A81" s="105"/>
      <c r="B81" s="72" t="s">
        <v>375</v>
      </c>
      <c r="C81" s="42">
        <v>-0.084</v>
      </c>
      <c r="D81" s="60">
        <v>0.0389</v>
      </c>
      <c r="E81" s="32">
        <v>-0.0479</v>
      </c>
      <c r="F81" s="33">
        <v>0.0389</v>
      </c>
      <c r="G81" s="33">
        <f>(1+F81)*G71</f>
        <v>0</v>
      </c>
      <c r="K81" s="35" t="e">
        <f ca="1">M81/L81</f>
        <v>#N/A</v>
      </c>
      <c r="L81" s="19" t="e">
        <f ca="1">VLOOKUP(INDIRECT("A"&amp;ROW()),收益表!$A$16:$U$10014,20,0)</f>
        <v>#N/A</v>
      </c>
      <c r="M81" s="19" t="e">
        <f ca="1">VLOOKUP(INDIRECT("A"&amp;ROW()),收益表!$A$16:$U$10014,21,0)</f>
        <v>#N/A</v>
      </c>
      <c r="N81" s="92"/>
      <c r="O81" s="93"/>
      <c r="P81" s="94"/>
    </row>
    <row r="82" spans="1:16">
      <c r="A82" s="76">
        <v>45721</v>
      </c>
      <c r="B82" s="14"/>
      <c r="C82" s="30"/>
      <c r="D82" s="31"/>
      <c r="E82" s="32"/>
      <c r="F82" s="33"/>
      <c r="G82" s="33"/>
      <c r="K82" s="35">
        <f ca="1">M82/L82</f>
        <v>0.0857142857142857</v>
      </c>
      <c r="L82" s="19">
        <f ca="1">VLOOKUP(INDIRECT("A"&amp;ROW()),收益表!$A$16:$U$10014,20,0)</f>
        <v>70</v>
      </c>
      <c r="M82" s="19">
        <f ca="1">VLOOKUP(INDIRECT("A"&amp;ROW()),收益表!$A$16:$U$10014,21,0)</f>
        <v>6</v>
      </c>
      <c r="N82" s="92"/>
      <c r="O82" s="93"/>
      <c r="P82" s="94"/>
    </row>
    <row r="83" spans="1:16">
      <c r="A83" s="76">
        <v>45722</v>
      </c>
      <c r="B83" s="14"/>
      <c r="C83" s="30"/>
      <c r="D83" s="31"/>
      <c r="E83" s="32"/>
      <c r="F83" s="33"/>
      <c r="G83" s="33"/>
      <c r="K83" s="35">
        <f ca="1">M83/L83</f>
        <v>0.0423728813559322</v>
      </c>
      <c r="L83" s="19">
        <f ca="1">VLOOKUP(INDIRECT("A"&amp;ROW()),收益表!$A$16:$U$10014,20,0)</f>
        <v>118</v>
      </c>
      <c r="M83" s="19">
        <f ca="1">VLOOKUP(INDIRECT("A"&amp;ROW()),收益表!$A$16:$U$10014,21,0)</f>
        <v>5</v>
      </c>
      <c r="N83" s="92"/>
      <c r="O83" s="93"/>
      <c r="P83" s="94"/>
    </row>
    <row r="84" spans="1:16">
      <c r="A84" s="118">
        <v>45723</v>
      </c>
      <c r="B84" s="14" t="s">
        <v>376</v>
      </c>
      <c r="C84" s="30"/>
      <c r="D84" s="31"/>
      <c r="E84" s="32"/>
      <c r="F84" s="33"/>
      <c r="G84" s="33"/>
      <c r="K84" s="35">
        <f ca="1">M84/L84</f>
        <v>0.193548387096774</v>
      </c>
      <c r="L84" s="19">
        <f ca="1">VLOOKUP(INDIRECT("A"&amp;ROW()),收益表!$A$16:$U$10014,20,0)</f>
        <v>62</v>
      </c>
      <c r="M84" s="19">
        <f ca="1">VLOOKUP(INDIRECT("A"&amp;ROW()),收益表!$A$16:$U$10014,21,0)</f>
        <v>12</v>
      </c>
      <c r="N84" s="92"/>
      <c r="O84" s="93"/>
      <c r="P84" s="94"/>
    </row>
    <row r="85" spans="1:16">
      <c r="A85" s="102">
        <v>45726</v>
      </c>
      <c r="B85" s="14" t="s">
        <v>377</v>
      </c>
      <c r="C85" s="30"/>
      <c r="D85" s="31"/>
      <c r="E85" s="32"/>
      <c r="F85" s="33"/>
      <c r="G85" s="33"/>
      <c r="K85" s="35">
        <f ca="1">M85/L85</f>
        <v>0.0860215053763441</v>
      </c>
      <c r="L85" s="19">
        <f ca="1">VLOOKUP(INDIRECT("A"&amp;ROW()),收益表!$A$16:$U$10014,20,0)</f>
        <v>93</v>
      </c>
      <c r="M85" s="19">
        <f ca="1">VLOOKUP(INDIRECT("A"&amp;ROW()),收益表!$A$16:$U$10014,21,0)</f>
        <v>8</v>
      </c>
      <c r="N85" s="92"/>
      <c r="O85" s="93"/>
      <c r="P85" s="94"/>
    </row>
    <row r="86" spans="1:16">
      <c r="A86" s="103"/>
      <c r="B86" s="14" t="s">
        <v>378</v>
      </c>
      <c r="C86" s="30"/>
      <c r="D86" s="31"/>
      <c r="E86" s="32"/>
      <c r="F86" s="33"/>
      <c r="G86" s="33"/>
      <c r="K86" s="35"/>
      <c r="L86" s="19"/>
      <c r="M86" s="19"/>
      <c r="N86" s="92"/>
      <c r="O86" s="93"/>
      <c r="P86" s="94"/>
    </row>
    <row r="87" spans="1:16">
      <c r="A87" s="105"/>
      <c r="B87" s="14" t="s">
        <v>379</v>
      </c>
      <c r="C87" s="30"/>
      <c r="D87" s="31"/>
      <c r="E87" s="32"/>
      <c r="F87" s="33"/>
      <c r="G87" s="33"/>
      <c r="K87" s="35"/>
      <c r="L87" s="19"/>
      <c r="M87" s="19"/>
      <c r="N87" s="92"/>
      <c r="O87" s="93"/>
      <c r="P87" s="94"/>
    </row>
    <row r="88" spans="1:16">
      <c r="A88" s="102">
        <v>45727</v>
      </c>
      <c r="B88" s="14" t="s">
        <v>380</v>
      </c>
      <c r="C88" s="30"/>
      <c r="D88" s="31"/>
      <c r="E88" s="32"/>
      <c r="F88" s="33"/>
      <c r="G88" s="33"/>
      <c r="K88" s="35">
        <f ca="1">M88/L88</f>
        <v>0.0757575757575758</v>
      </c>
      <c r="L88" s="19">
        <f ca="1">VLOOKUP(INDIRECT("A"&amp;ROW()),收益表!$A$16:$U$10014,20,0)</f>
        <v>66</v>
      </c>
      <c r="M88" s="19">
        <f ca="1">VLOOKUP(INDIRECT("A"&amp;ROW()),收益表!$A$16:$U$10014,21,0)</f>
        <v>5</v>
      </c>
      <c r="N88" s="92"/>
      <c r="O88" s="93"/>
      <c r="P88" s="94"/>
    </row>
    <row r="89" spans="1:16">
      <c r="A89" s="103"/>
      <c r="B89" s="14" t="s">
        <v>381</v>
      </c>
      <c r="C89" s="30"/>
      <c r="D89" s="31"/>
      <c r="E89" s="32"/>
      <c r="F89" s="33"/>
      <c r="G89" s="33"/>
      <c r="K89" s="35"/>
      <c r="L89" s="19"/>
      <c r="M89" s="19"/>
      <c r="N89" s="92"/>
      <c r="O89" s="93"/>
      <c r="P89" s="94"/>
    </row>
    <row r="90" spans="1:16">
      <c r="A90" s="105"/>
      <c r="B90" s="14" t="s">
        <v>382</v>
      </c>
      <c r="C90" s="30"/>
      <c r="D90" s="31"/>
      <c r="E90" s="32"/>
      <c r="F90" s="33"/>
      <c r="G90" s="33"/>
      <c r="K90" s="35"/>
      <c r="L90" s="19"/>
      <c r="M90" s="19"/>
      <c r="N90" s="92"/>
      <c r="O90" s="93"/>
      <c r="P90" s="94"/>
    </row>
    <row r="91" spans="1:16">
      <c r="A91" s="78">
        <v>45728</v>
      </c>
      <c r="B91" s="14"/>
      <c r="C91" s="30"/>
      <c r="D91" s="31"/>
      <c r="E91" s="32"/>
      <c r="F91" s="33"/>
      <c r="G91" s="33"/>
      <c r="K91" s="35">
        <f ca="1">M91/L91</f>
        <v>0.0212765957446809</v>
      </c>
      <c r="L91" s="19">
        <f ca="1">VLOOKUP(INDIRECT("A"&amp;ROW()),收益表!$A$16:$U$10014,20,0)</f>
        <v>94</v>
      </c>
      <c r="M91" s="19">
        <f ca="1">VLOOKUP(INDIRECT("A"&amp;ROW()),收益表!$A$16:$U$10014,21,0)</f>
        <v>2</v>
      </c>
      <c r="N91" s="92"/>
      <c r="O91" s="93"/>
      <c r="P91" s="94"/>
    </row>
    <row r="92" spans="1:16">
      <c r="A92" s="102">
        <v>45729</v>
      </c>
      <c r="B92" s="14" t="s">
        <v>242</v>
      </c>
      <c r="C92" s="30"/>
      <c r="D92" s="31"/>
      <c r="E92" s="32"/>
      <c r="F92" s="33"/>
      <c r="G92" s="33"/>
      <c r="K92" s="35">
        <f ca="1">M92/L92</f>
        <v>0.245614035087719</v>
      </c>
      <c r="L92" s="19">
        <f ca="1">VLOOKUP(INDIRECT("A"&amp;ROW()),收益表!$A$16:$U$10014,20,0)</f>
        <v>57</v>
      </c>
      <c r="M92" s="19">
        <f ca="1">VLOOKUP(INDIRECT("A"&amp;ROW()),收益表!$A$16:$U$10014,21,0)</f>
        <v>14</v>
      </c>
      <c r="N92" s="92"/>
      <c r="O92" s="93"/>
      <c r="P92" s="94"/>
    </row>
    <row r="93" spans="1:16">
      <c r="A93" s="103"/>
      <c r="B93" s="14" t="s">
        <v>234</v>
      </c>
      <c r="C93" s="30"/>
      <c r="D93" s="31"/>
      <c r="E93" s="32"/>
      <c r="F93" s="33"/>
      <c r="G93" s="33"/>
      <c r="K93" s="35"/>
      <c r="L93" s="19"/>
      <c r="M93" s="19"/>
      <c r="N93" s="92"/>
      <c r="O93" s="93"/>
      <c r="P93" s="94"/>
    </row>
    <row r="94" spans="1:16">
      <c r="A94" s="105"/>
      <c r="B94" s="14" t="s">
        <v>383</v>
      </c>
      <c r="C94" s="30"/>
      <c r="D94" s="31"/>
      <c r="E94" s="32"/>
      <c r="F94" s="33"/>
      <c r="G94" s="33"/>
      <c r="K94" s="35"/>
      <c r="L94" s="19"/>
      <c r="M94" s="19"/>
      <c r="N94" s="92"/>
      <c r="O94" s="93"/>
      <c r="P94" s="94"/>
    </row>
    <row r="95" spans="1:16">
      <c r="A95" s="118">
        <v>45730</v>
      </c>
      <c r="B95" s="14" t="s">
        <v>384</v>
      </c>
      <c r="C95" s="30"/>
      <c r="D95" s="31"/>
      <c r="E95" s="32"/>
      <c r="F95" s="33"/>
      <c r="G95" s="33"/>
      <c r="K95" s="35">
        <f ca="1">M95/L95</f>
        <v>0.0625</v>
      </c>
      <c r="L95" s="19">
        <f ca="1">VLOOKUP(INDIRECT("A"&amp;ROW()),收益表!$A$16:$U$10014,20,0)</f>
        <v>96</v>
      </c>
      <c r="M95" s="19">
        <f ca="1">VLOOKUP(INDIRECT("A"&amp;ROW()),收益表!$A$16:$U$10014,21,0)</f>
        <v>6</v>
      </c>
      <c r="N95" s="92"/>
      <c r="O95" s="93"/>
      <c r="P95" s="94"/>
    </row>
    <row r="96" spans="1:16">
      <c r="A96" s="78">
        <v>45733</v>
      </c>
      <c r="B96" s="14"/>
      <c r="C96" s="30"/>
      <c r="D96" s="31"/>
      <c r="E96" s="32"/>
      <c r="F96" s="33"/>
      <c r="G96" s="33"/>
      <c r="K96" s="35">
        <f ca="1">M96/L96</f>
        <v>0.130952380952381</v>
      </c>
      <c r="L96" s="19">
        <f ca="1">VLOOKUP(INDIRECT("A"&amp;ROW()),收益表!$A$16:$U$10014,20,0)</f>
        <v>84</v>
      </c>
      <c r="M96" s="19">
        <f ca="1">VLOOKUP(INDIRECT("A"&amp;ROW()),收益表!$A$16:$U$10014,21,0)</f>
        <v>11</v>
      </c>
      <c r="N96" s="92"/>
      <c r="O96" s="93"/>
      <c r="P96" s="94"/>
    </row>
    <row r="97" spans="1:16">
      <c r="A97" s="78">
        <v>45734</v>
      </c>
      <c r="B97" s="14"/>
      <c r="C97" s="30"/>
      <c r="D97" s="31"/>
      <c r="E97" s="32"/>
      <c r="F97" s="33"/>
      <c r="G97" s="33"/>
      <c r="K97" s="35">
        <f ca="1">M97/L97</f>
        <v>0.141025641025641</v>
      </c>
      <c r="L97" s="19">
        <f ca="1">VLOOKUP(INDIRECT("A"&amp;ROW()),收益表!$A$16:$U$10014,20,0)</f>
        <v>78</v>
      </c>
      <c r="M97" s="19">
        <f ca="1">VLOOKUP(INDIRECT("A"&amp;ROW()),收益表!$A$16:$U$10014,21,0)</f>
        <v>11</v>
      </c>
      <c r="N97" s="92"/>
      <c r="O97" s="93"/>
      <c r="P97" s="94"/>
    </row>
    <row r="98" spans="1:16">
      <c r="A98" s="102">
        <v>45735</v>
      </c>
      <c r="B98" s="14" t="s">
        <v>385</v>
      </c>
      <c r="C98" s="30"/>
      <c r="D98" s="31"/>
      <c r="E98" s="32"/>
      <c r="F98" s="33"/>
      <c r="G98" s="33"/>
      <c r="K98" s="35">
        <f ca="1">M98/L98</f>
        <v>0.142857142857143</v>
      </c>
      <c r="L98" s="19">
        <f ca="1">VLOOKUP(INDIRECT("A"&amp;ROW()),收益表!$A$16:$U$10014,20,0)</f>
        <v>56</v>
      </c>
      <c r="M98" s="19">
        <f ca="1">VLOOKUP(INDIRECT("A"&amp;ROW()),收益表!$A$16:$U$10014,21,0)</f>
        <v>8</v>
      </c>
      <c r="N98" s="92"/>
      <c r="O98" s="93"/>
      <c r="P98" s="94"/>
    </row>
    <row r="99" spans="1:16">
      <c r="A99" s="105"/>
      <c r="B99" s="14" t="s">
        <v>386</v>
      </c>
      <c r="C99" s="30"/>
      <c r="D99" s="31"/>
      <c r="E99" s="32"/>
      <c r="F99" s="33"/>
      <c r="G99" s="33"/>
      <c r="K99" s="35"/>
      <c r="L99" s="19"/>
      <c r="M99" s="19"/>
      <c r="N99" s="92"/>
      <c r="O99" s="93"/>
      <c r="P99" s="94"/>
    </row>
    <row r="100" spans="1:16">
      <c r="A100" s="78">
        <v>45736</v>
      </c>
      <c r="B100" s="14"/>
      <c r="C100" s="30"/>
      <c r="D100" s="31"/>
      <c r="E100" s="32"/>
      <c r="F100" s="33"/>
      <c r="G100" s="33"/>
      <c r="K100" s="35">
        <f ca="1">M100/L100</f>
        <v>0.0958904109589041</v>
      </c>
      <c r="L100" s="19">
        <f ca="1">VLOOKUP(INDIRECT("A"&amp;ROW()),收益表!$A$16:$U$10014,20,0)</f>
        <v>73</v>
      </c>
      <c r="M100" s="19">
        <f ca="1">VLOOKUP(INDIRECT("A"&amp;ROW()),收益表!$A$16:$U$10014,21,0)</f>
        <v>7</v>
      </c>
      <c r="N100" s="92"/>
      <c r="O100" s="93"/>
      <c r="P100" s="94"/>
    </row>
    <row r="101" spans="1:16">
      <c r="A101" s="106">
        <v>45737</v>
      </c>
      <c r="B101" s="14" t="s">
        <v>387</v>
      </c>
      <c r="C101" s="30"/>
      <c r="D101" s="31"/>
      <c r="E101" s="32"/>
      <c r="F101" s="33"/>
      <c r="G101" s="33"/>
      <c r="K101" s="35">
        <f ca="1">M101/L101</f>
        <v>0.553571428571429</v>
      </c>
      <c r="L101" s="19">
        <f ca="1">VLOOKUP(INDIRECT("A"&amp;ROW()),收益表!$A$16:$U$10014,20,0)</f>
        <v>56</v>
      </c>
      <c r="M101" s="19">
        <f ca="1">VLOOKUP(INDIRECT("A"&amp;ROW()),收益表!$A$16:$U$10014,21,0)</f>
        <v>31</v>
      </c>
      <c r="N101" s="92"/>
      <c r="O101" s="93"/>
      <c r="P101" s="94"/>
    </row>
    <row r="102" spans="1:16">
      <c r="A102" s="119"/>
      <c r="B102" s="14" t="s">
        <v>388</v>
      </c>
      <c r="C102" s="30"/>
      <c r="D102" s="31"/>
      <c r="E102" s="32"/>
      <c r="F102" s="33"/>
      <c r="G102" s="33"/>
      <c r="K102" s="35"/>
      <c r="L102" s="19"/>
      <c r="M102" s="19"/>
      <c r="N102" s="92"/>
      <c r="O102" s="93"/>
      <c r="P102" s="94"/>
    </row>
    <row r="103" spans="1:16">
      <c r="A103" s="102">
        <v>45740</v>
      </c>
      <c r="B103" s="14" t="s">
        <v>389</v>
      </c>
      <c r="C103" s="30"/>
      <c r="D103" s="31"/>
      <c r="E103" s="32"/>
      <c r="F103" s="33"/>
      <c r="G103" s="33"/>
      <c r="K103" s="35">
        <f ca="1">M103/L103</f>
        <v>0.87037037037037</v>
      </c>
      <c r="L103" s="19">
        <f ca="1">VLOOKUP(INDIRECT("A"&amp;ROW()),收益表!$A$16:$U$10014,20,0)</f>
        <v>54</v>
      </c>
      <c r="M103" s="19">
        <f ca="1">VLOOKUP(INDIRECT("A"&amp;ROW()),收益表!$A$16:$U$10014,21,0)</f>
        <v>47</v>
      </c>
      <c r="N103" s="92"/>
      <c r="O103" s="93"/>
      <c r="P103" s="94"/>
    </row>
    <row r="104" spans="1:16">
      <c r="A104" s="103"/>
      <c r="B104" s="14" t="s">
        <v>390</v>
      </c>
      <c r="C104" s="30"/>
      <c r="D104" s="31"/>
      <c r="E104" s="32"/>
      <c r="F104" s="33"/>
      <c r="G104" s="33"/>
      <c r="K104" s="35"/>
      <c r="L104" s="19"/>
      <c r="M104" s="19"/>
      <c r="N104" s="92"/>
      <c r="O104" s="93"/>
      <c r="P104" s="94"/>
    </row>
    <row r="105" spans="1:16">
      <c r="A105" s="105"/>
      <c r="B105" s="14" t="s">
        <v>391</v>
      </c>
      <c r="C105" s="30"/>
      <c r="D105" s="31"/>
      <c r="E105" s="32"/>
      <c r="F105" s="33"/>
      <c r="G105" s="33"/>
      <c r="K105" s="35"/>
      <c r="L105" s="19"/>
      <c r="M105" s="19"/>
      <c r="N105" s="92"/>
      <c r="O105" s="93"/>
      <c r="P105" s="94"/>
    </row>
    <row r="106" spans="1:16">
      <c r="A106" s="78">
        <v>45741</v>
      </c>
      <c r="B106" s="14"/>
      <c r="C106" s="30"/>
      <c r="D106" s="31"/>
      <c r="E106" s="32"/>
      <c r="F106" s="33"/>
      <c r="G106" s="33"/>
      <c r="K106" s="35">
        <f ca="1" t="shared" ref="K106:K113" si="1">M106/L106</f>
        <v>0.807017543859649</v>
      </c>
      <c r="L106" s="19">
        <f ca="1">VLOOKUP(INDIRECT("A"&amp;ROW()),收益表!$A$16:$U$10014,20,0)</f>
        <v>57</v>
      </c>
      <c r="M106" s="19">
        <f ca="1">VLOOKUP(INDIRECT("A"&amp;ROW()),收益表!$A$16:$U$10014,21,0)</f>
        <v>46</v>
      </c>
      <c r="N106" s="92"/>
      <c r="O106" s="93"/>
      <c r="P106" s="94"/>
    </row>
    <row r="107" spans="1:16">
      <c r="A107" s="78">
        <v>45742</v>
      </c>
      <c r="B107" s="14"/>
      <c r="C107" s="30"/>
      <c r="D107" s="31"/>
      <c r="E107" s="32"/>
      <c r="F107" s="33"/>
      <c r="G107" s="33"/>
      <c r="K107" s="35">
        <f ca="1" t="shared" si="1"/>
        <v>0.133333333333333</v>
      </c>
      <c r="L107" s="19">
        <f ca="1">VLOOKUP(INDIRECT("A"&amp;ROW()),收益表!$A$16:$U$10014,20,0)</f>
        <v>90</v>
      </c>
      <c r="M107" s="19">
        <f ca="1">VLOOKUP(INDIRECT("A"&amp;ROW()),收益表!$A$16:$U$10014,21,0)</f>
        <v>12</v>
      </c>
      <c r="N107" s="92"/>
      <c r="O107" s="93"/>
      <c r="P107" s="94"/>
    </row>
    <row r="108" spans="1:16">
      <c r="A108" s="78">
        <v>45743</v>
      </c>
      <c r="B108" s="14" t="s">
        <v>392</v>
      </c>
      <c r="C108" s="30"/>
      <c r="D108" s="31"/>
      <c r="E108" s="32"/>
      <c r="F108" s="33"/>
      <c r="G108" s="33"/>
      <c r="K108" s="35">
        <f ca="1" t="shared" si="1"/>
        <v>0.527272727272727</v>
      </c>
      <c r="L108" s="19">
        <f ca="1">VLOOKUP(INDIRECT("A"&amp;ROW()),收益表!$A$16:$U$10014,20,0)</f>
        <v>55</v>
      </c>
      <c r="M108" s="19">
        <f ca="1">VLOOKUP(INDIRECT("A"&amp;ROW()),收益表!$A$16:$U$10014,21,0)</f>
        <v>29</v>
      </c>
      <c r="N108" s="92"/>
      <c r="O108" s="93"/>
      <c r="P108" s="94"/>
    </row>
    <row r="109" spans="1:16">
      <c r="A109" s="118">
        <v>45744</v>
      </c>
      <c r="B109" s="14"/>
      <c r="C109" s="30"/>
      <c r="D109" s="31"/>
      <c r="E109" s="32"/>
      <c r="F109" s="33"/>
      <c r="G109" s="33"/>
      <c r="K109" s="35">
        <f ca="1" t="shared" si="1"/>
        <v>0.942857142857143</v>
      </c>
      <c r="L109" s="19">
        <f ca="1">VLOOKUP(INDIRECT("A"&amp;ROW()),收益表!$A$16:$U$10014,20,0)</f>
        <v>35</v>
      </c>
      <c r="M109" s="19">
        <f ca="1">VLOOKUP(INDIRECT("A"&amp;ROW()),收益表!$A$16:$U$10014,21,0)</f>
        <v>33</v>
      </c>
      <c r="N109" s="92"/>
      <c r="O109" s="93"/>
      <c r="P109" s="94"/>
    </row>
    <row r="110" spans="1:16">
      <c r="A110" s="120">
        <v>45747</v>
      </c>
      <c r="B110" s="14" t="s">
        <v>393</v>
      </c>
      <c r="C110" s="30"/>
      <c r="D110" s="31"/>
      <c r="E110" s="32"/>
      <c r="F110" s="33"/>
      <c r="G110" s="33"/>
      <c r="K110" s="35">
        <f ca="1" t="shared" si="1"/>
        <v>1.04878048780488</v>
      </c>
      <c r="L110" s="19">
        <f ca="1">VLOOKUP(INDIRECT("A"&amp;ROW()),收益表!$A$16:$U$10014,20,0)</f>
        <v>41</v>
      </c>
      <c r="M110" s="19">
        <f ca="1">VLOOKUP(INDIRECT("A"&amp;ROW()),收益表!$A$16:$U$10014,21,0)</f>
        <v>43</v>
      </c>
      <c r="N110" s="92"/>
      <c r="O110" s="93"/>
      <c r="P110" s="94"/>
    </row>
    <row r="111" spans="1:16">
      <c r="A111" s="120">
        <v>45748</v>
      </c>
      <c r="B111" s="14" t="s">
        <v>394</v>
      </c>
      <c r="C111" s="30"/>
      <c r="D111" s="31"/>
      <c r="E111" s="32"/>
      <c r="F111" s="33"/>
      <c r="G111" s="33"/>
      <c r="K111" s="35">
        <f ca="1" t="shared" si="1"/>
        <v>0.292307692307692</v>
      </c>
      <c r="L111" s="19">
        <f ca="1">VLOOKUP(INDIRECT("A"&amp;ROW()),收益表!$A$16:$U$10014,20,0)</f>
        <v>65</v>
      </c>
      <c r="M111" s="19">
        <f ca="1">VLOOKUP(INDIRECT("A"&amp;ROW()),收益表!$A$16:$U$10014,21,0)</f>
        <v>19</v>
      </c>
      <c r="N111" s="92"/>
      <c r="O111" s="93"/>
      <c r="P111" s="94"/>
    </row>
    <row r="112" spans="1:16">
      <c r="A112" s="120">
        <v>45749</v>
      </c>
      <c r="B112" s="14"/>
      <c r="C112" s="30"/>
      <c r="D112" s="31"/>
      <c r="E112" s="32"/>
      <c r="F112" s="33"/>
      <c r="G112" s="33"/>
      <c r="K112" s="35">
        <f ca="1" t="shared" si="1"/>
        <v>0.395833333333333</v>
      </c>
      <c r="L112" s="19">
        <f ca="1">VLOOKUP(INDIRECT("A"&amp;ROW()),收益表!$A$16:$U$10014,20,0)</f>
        <v>48</v>
      </c>
      <c r="M112" s="19">
        <f ca="1">VLOOKUP(INDIRECT("A"&amp;ROW()),收益表!$A$16:$U$10014,21,0)</f>
        <v>19</v>
      </c>
      <c r="N112" s="92"/>
      <c r="O112" s="93"/>
      <c r="P112" s="94"/>
    </row>
    <row r="113" spans="1:16">
      <c r="A113" s="118">
        <v>45750</v>
      </c>
      <c r="B113" s="14" t="s">
        <v>395</v>
      </c>
      <c r="C113" s="30"/>
      <c r="D113" s="31"/>
      <c r="E113" s="32"/>
      <c r="F113" s="33"/>
      <c r="G113" s="33"/>
      <c r="K113" s="35">
        <f ca="1" t="shared" si="1"/>
        <v>0.508474576271186</v>
      </c>
      <c r="L113" s="19">
        <f ca="1">VLOOKUP(INDIRECT("A"&amp;ROW()),收益表!$A$16:$U$10014,20,0)</f>
        <v>59</v>
      </c>
      <c r="M113" s="19">
        <f ca="1">VLOOKUP(INDIRECT("A"&amp;ROW()),收益表!$A$16:$U$10014,21,0)</f>
        <v>30</v>
      </c>
      <c r="N113" s="92"/>
      <c r="O113" s="93"/>
      <c r="P113" s="94"/>
    </row>
    <row r="114" spans="1:16">
      <c r="A114" s="102">
        <v>45754</v>
      </c>
      <c r="B114" s="14" t="s">
        <v>396</v>
      </c>
      <c r="C114" s="30"/>
      <c r="D114" s="31"/>
      <c r="E114" s="32"/>
      <c r="F114" s="33"/>
      <c r="G114" s="33"/>
      <c r="K114" s="35"/>
      <c r="L114" s="19"/>
      <c r="M114" s="19"/>
      <c r="N114" s="92"/>
      <c r="O114" s="93"/>
      <c r="P114" s="94"/>
    </row>
    <row r="115" spans="1:16">
      <c r="A115" s="105"/>
      <c r="B115" s="14" t="s">
        <v>184</v>
      </c>
      <c r="C115" s="30"/>
      <c r="D115" s="31"/>
      <c r="E115" s="32"/>
      <c r="F115" s="33"/>
      <c r="G115" s="33"/>
      <c r="K115" s="35"/>
      <c r="L115" s="123"/>
      <c r="M115" s="123"/>
      <c r="N115" s="92"/>
      <c r="O115" s="93"/>
      <c r="P115" s="94"/>
    </row>
    <row r="116" spans="1:16">
      <c r="A116" s="102">
        <v>45755</v>
      </c>
      <c r="B116" s="14" t="s">
        <v>397</v>
      </c>
      <c r="C116" s="30"/>
      <c r="D116" s="31"/>
      <c r="E116" s="32"/>
      <c r="F116" s="33"/>
      <c r="G116" s="33"/>
      <c r="K116" s="35"/>
      <c r="L116" s="123"/>
      <c r="M116" s="123"/>
      <c r="N116" s="92"/>
      <c r="O116" s="93"/>
      <c r="P116" s="94"/>
    </row>
    <row r="117" spans="1:16">
      <c r="A117" s="105"/>
      <c r="B117" s="14" t="s">
        <v>398</v>
      </c>
      <c r="C117" s="30"/>
      <c r="D117" s="31"/>
      <c r="E117" s="32"/>
      <c r="F117" s="33"/>
      <c r="G117" s="33"/>
      <c r="K117" s="35"/>
      <c r="L117" s="123"/>
      <c r="M117" s="123"/>
      <c r="N117" s="92"/>
      <c r="O117" s="93"/>
      <c r="P117" s="94"/>
    </row>
    <row r="118" spans="1:16">
      <c r="A118" s="78">
        <v>45756</v>
      </c>
      <c r="B118" s="14" t="s">
        <v>399</v>
      </c>
      <c r="C118" s="30"/>
      <c r="D118" s="31"/>
      <c r="E118" s="32"/>
      <c r="F118" s="33"/>
      <c r="G118" s="33"/>
      <c r="K118" s="35"/>
      <c r="L118" s="123"/>
      <c r="M118" s="123"/>
      <c r="N118" s="92"/>
      <c r="O118" s="93"/>
      <c r="P118" s="94"/>
    </row>
    <row r="119" spans="1:16">
      <c r="A119" s="102">
        <v>45757</v>
      </c>
      <c r="B119" s="14" t="s">
        <v>400</v>
      </c>
      <c r="C119" s="30"/>
      <c r="D119" s="31"/>
      <c r="E119" s="32"/>
      <c r="F119" s="33"/>
      <c r="G119" s="33"/>
      <c r="K119" s="35"/>
      <c r="L119" s="123"/>
      <c r="M119" s="123"/>
      <c r="N119" s="92"/>
      <c r="O119" s="93"/>
      <c r="P119" s="94"/>
    </row>
    <row r="120" spans="1:16">
      <c r="A120" s="103"/>
      <c r="B120" s="14" t="s">
        <v>401</v>
      </c>
      <c r="C120" s="30"/>
      <c r="D120" s="31"/>
      <c r="E120" s="32"/>
      <c r="F120" s="33"/>
      <c r="G120" s="33"/>
      <c r="K120" s="35"/>
      <c r="L120" s="123"/>
      <c r="M120" s="123"/>
      <c r="N120" s="92"/>
      <c r="O120" s="93"/>
      <c r="P120" s="94"/>
    </row>
    <row r="121" spans="1:16">
      <c r="A121" s="105"/>
      <c r="B121" s="14" t="s">
        <v>402</v>
      </c>
      <c r="C121" s="30"/>
      <c r="D121" s="31"/>
      <c r="E121" s="32"/>
      <c r="F121" s="33"/>
      <c r="G121" s="33"/>
      <c r="K121" s="35"/>
      <c r="L121" s="123"/>
      <c r="M121" s="123"/>
      <c r="N121" s="92"/>
      <c r="O121" s="93"/>
      <c r="P121" s="94"/>
    </row>
    <row r="122" spans="1:16">
      <c r="A122" s="118">
        <v>45758</v>
      </c>
      <c r="B122" s="14" t="s">
        <v>137</v>
      </c>
      <c r="C122" s="30"/>
      <c r="D122" s="31"/>
      <c r="E122" s="32"/>
      <c r="F122" s="33"/>
      <c r="G122" s="33"/>
      <c r="K122" s="35"/>
      <c r="L122" s="123"/>
      <c r="M122" s="123"/>
      <c r="N122" s="92"/>
      <c r="O122" s="93"/>
      <c r="P122" s="94"/>
    </row>
    <row r="123" spans="1:16">
      <c r="A123" s="78">
        <v>45761</v>
      </c>
      <c r="B123" s="14"/>
      <c r="C123" s="30"/>
      <c r="D123" s="31"/>
      <c r="E123" s="32"/>
      <c r="F123" s="33"/>
      <c r="G123" s="33"/>
      <c r="K123" s="35"/>
      <c r="L123" s="123"/>
      <c r="M123" s="123"/>
      <c r="N123" s="92"/>
      <c r="O123" s="93"/>
      <c r="P123" s="94"/>
    </row>
    <row r="124" spans="1:16">
      <c r="A124" s="78">
        <v>45762</v>
      </c>
      <c r="B124" s="14"/>
      <c r="C124" s="30"/>
      <c r="D124" s="31"/>
      <c r="E124" s="32"/>
      <c r="F124" s="33"/>
      <c r="G124" s="33"/>
      <c r="K124" s="35"/>
      <c r="L124" s="123"/>
      <c r="M124" s="123"/>
      <c r="N124" s="92"/>
      <c r="O124" s="93"/>
      <c r="P124" s="94"/>
    </row>
    <row r="125" spans="1:16">
      <c r="A125" s="78">
        <v>45763</v>
      </c>
      <c r="B125" s="14"/>
      <c r="C125" s="30"/>
      <c r="D125" s="31"/>
      <c r="E125" s="32"/>
      <c r="F125" s="33"/>
      <c r="G125" s="33"/>
      <c r="K125" s="35"/>
      <c r="L125" s="123"/>
      <c r="M125" s="123"/>
      <c r="N125" s="92"/>
      <c r="O125" s="93"/>
      <c r="P125" s="94"/>
    </row>
    <row r="126" spans="1:16">
      <c r="A126" s="78">
        <v>45764</v>
      </c>
      <c r="B126" s="14"/>
      <c r="C126" s="30"/>
      <c r="D126" s="31"/>
      <c r="E126" s="32"/>
      <c r="F126" s="33"/>
      <c r="G126" s="33"/>
      <c r="K126" s="35"/>
      <c r="L126" s="123"/>
      <c r="M126" s="123"/>
      <c r="N126" s="92"/>
      <c r="O126" s="93"/>
      <c r="P126" s="94"/>
    </row>
    <row r="127" spans="1:16">
      <c r="A127" s="118">
        <v>45765</v>
      </c>
      <c r="B127" s="14"/>
      <c r="C127" s="30"/>
      <c r="D127" s="31"/>
      <c r="E127" s="32"/>
      <c r="F127" s="33"/>
      <c r="G127" s="33"/>
      <c r="K127" s="35"/>
      <c r="L127" s="123"/>
      <c r="M127" s="123"/>
      <c r="N127" s="69"/>
      <c r="O127" s="124"/>
      <c r="P127" s="65"/>
    </row>
    <row r="128" spans="1:16">
      <c r="A128" s="118"/>
      <c r="B128" s="14"/>
      <c r="C128" s="30"/>
      <c r="D128" s="31"/>
      <c r="E128" s="32"/>
      <c r="F128" s="33"/>
      <c r="G128" s="33"/>
      <c r="K128" s="35"/>
      <c r="L128" s="123"/>
      <c r="M128" s="123"/>
      <c r="N128" s="69"/>
      <c r="O128" s="124"/>
      <c r="P128" s="65"/>
    </row>
    <row r="129" spans="1:16">
      <c r="A129" s="118"/>
      <c r="B129" s="14"/>
      <c r="C129" s="30"/>
      <c r="D129" s="31"/>
      <c r="E129" s="32"/>
      <c r="F129" s="33"/>
      <c r="G129" s="33"/>
      <c r="K129" s="35"/>
      <c r="L129" s="123"/>
      <c r="M129" s="123"/>
      <c r="N129" s="69"/>
      <c r="O129" s="124"/>
      <c r="P129" s="65"/>
    </row>
    <row r="130" spans="1:16">
      <c r="A130" s="118"/>
      <c r="B130" s="14"/>
      <c r="C130" s="30"/>
      <c r="D130" s="31"/>
      <c r="E130" s="32"/>
      <c r="F130" s="33"/>
      <c r="G130" s="33"/>
      <c r="K130" s="35"/>
      <c r="L130" s="123"/>
      <c r="M130" s="123"/>
      <c r="N130" s="69"/>
      <c r="O130" s="124"/>
      <c r="P130" s="65"/>
    </row>
    <row r="131" spans="1:16">
      <c r="A131" s="118"/>
      <c r="B131" s="14"/>
      <c r="C131" s="30"/>
      <c r="D131" s="31"/>
      <c r="E131" s="32"/>
      <c r="F131" s="33"/>
      <c r="G131" s="33"/>
      <c r="K131" s="35"/>
      <c r="L131" s="123"/>
      <c r="M131" s="123"/>
      <c r="N131" s="69"/>
      <c r="O131" s="124"/>
      <c r="P131" s="65"/>
    </row>
    <row r="132" spans="1:16">
      <c r="A132" s="118"/>
      <c r="B132" s="14"/>
      <c r="C132" s="30"/>
      <c r="D132" s="31"/>
      <c r="E132" s="32"/>
      <c r="F132" s="33"/>
      <c r="G132" s="33"/>
      <c r="K132" s="35"/>
      <c r="L132" s="123"/>
      <c r="M132" s="123"/>
      <c r="N132" s="69"/>
      <c r="O132" s="124"/>
      <c r="P132" s="65"/>
    </row>
    <row r="133" spans="1:16">
      <c r="A133" s="118"/>
      <c r="B133" s="14"/>
      <c r="C133" s="30"/>
      <c r="D133" s="31"/>
      <c r="E133" s="32"/>
      <c r="F133" s="33"/>
      <c r="G133" s="33"/>
      <c r="K133" s="35"/>
      <c r="L133" s="123"/>
      <c r="M133" s="123"/>
      <c r="N133" s="69"/>
      <c r="O133" s="124"/>
      <c r="P133" s="65"/>
    </row>
  </sheetData>
  <mergeCells count="138"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29:P29"/>
    <mergeCell ref="N30:P30"/>
    <mergeCell ref="N31:P31"/>
    <mergeCell ref="N32:P32"/>
    <mergeCell ref="N33:P33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6:P46"/>
    <mergeCell ref="N47:P47"/>
    <mergeCell ref="N48:P48"/>
    <mergeCell ref="N49:P49"/>
    <mergeCell ref="N51:P51"/>
    <mergeCell ref="N52:P52"/>
    <mergeCell ref="N53:P53"/>
    <mergeCell ref="N54:P54"/>
    <mergeCell ref="N55:P55"/>
    <mergeCell ref="N56:P56"/>
    <mergeCell ref="N57:P57"/>
    <mergeCell ref="N58:P58"/>
    <mergeCell ref="N61:P61"/>
    <mergeCell ref="N63:P63"/>
    <mergeCell ref="N64:P64"/>
    <mergeCell ref="N65:P65"/>
    <mergeCell ref="N66:P66"/>
    <mergeCell ref="N69:P69"/>
    <mergeCell ref="N71:P71"/>
    <mergeCell ref="N72:P72"/>
    <mergeCell ref="N74:P74"/>
    <mergeCell ref="N75:P75"/>
    <mergeCell ref="N76:P76"/>
    <mergeCell ref="N77:P77"/>
    <mergeCell ref="N79:P79"/>
    <mergeCell ref="N81:P81"/>
    <mergeCell ref="N82:P82"/>
    <mergeCell ref="N83:P83"/>
    <mergeCell ref="N84:P84"/>
    <mergeCell ref="N85:P85"/>
    <mergeCell ref="N88:P88"/>
    <mergeCell ref="N91:P91"/>
    <mergeCell ref="N92:P92"/>
    <mergeCell ref="N95:P95"/>
    <mergeCell ref="N96:P96"/>
    <mergeCell ref="N97:P97"/>
    <mergeCell ref="N98:P98"/>
    <mergeCell ref="N100:P100"/>
    <mergeCell ref="N101:P101"/>
    <mergeCell ref="N103:P103"/>
    <mergeCell ref="N106:P106"/>
    <mergeCell ref="N107:P107"/>
    <mergeCell ref="N108:P108"/>
    <mergeCell ref="N109:P109"/>
    <mergeCell ref="N110:P110"/>
    <mergeCell ref="N111:P111"/>
    <mergeCell ref="N112:P112"/>
    <mergeCell ref="N113:P113"/>
    <mergeCell ref="N114:P114"/>
    <mergeCell ref="N116:P116"/>
    <mergeCell ref="N118:P118"/>
    <mergeCell ref="N119:P119"/>
    <mergeCell ref="N122:P122"/>
    <mergeCell ref="N123:P123"/>
    <mergeCell ref="N124:P124"/>
    <mergeCell ref="N125:P125"/>
    <mergeCell ref="N126:P126"/>
    <mergeCell ref="N127:P127"/>
    <mergeCell ref="N128:P128"/>
    <mergeCell ref="N129:P129"/>
    <mergeCell ref="N130:P130"/>
    <mergeCell ref="N131:P131"/>
    <mergeCell ref="N132:P132"/>
    <mergeCell ref="N133:P133"/>
    <mergeCell ref="A18:A19"/>
    <mergeCell ref="A21:A22"/>
    <mergeCell ref="A23:A27"/>
    <mergeCell ref="A28:A30"/>
    <mergeCell ref="A31:A34"/>
    <mergeCell ref="A35:A37"/>
    <mergeCell ref="A38:A39"/>
    <mergeCell ref="A49:A50"/>
    <mergeCell ref="A58:A60"/>
    <mergeCell ref="A66:A68"/>
    <mergeCell ref="A69:A70"/>
    <mergeCell ref="A71:A73"/>
    <mergeCell ref="A77:A78"/>
    <mergeCell ref="A80:A81"/>
    <mergeCell ref="A85:A87"/>
    <mergeCell ref="A88:A90"/>
    <mergeCell ref="A92:A94"/>
    <mergeCell ref="A98:A99"/>
    <mergeCell ref="A101:A102"/>
    <mergeCell ref="A103:A105"/>
    <mergeCell ref="A114:A115"/>
    <mergeCell ref="A116:A117"/>
    <mergeCell ref="A119:A121"/>
    <mergeCell ref="F35:F37"/>
    <mergeCell ref="F38:F39"/>
    <mergeCell ref="F71:F72"/>
    <mergeCell ref="G35:G37"/>
    <mergeCell ref="G38:G39"/>
    <mergeCell ref="G71:G72"/>
    <mergeCell ref="K35:K37"/>
    <mergeCell ref="K38:K39"/>
    <mergeCell ref="K71:K72"/>
    <mergeCell ref="B1:C2"/>
    <mergeCell ref="H18:J51"/>
    <mergeCell ref="H52:J6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21:K89"/>
  <sheetViews>
    <sheetView workbookViewId="0">
      <selection activeCell="K22" sqref="K22"/>
    </sheetView>
  </sheetViews>
  <sheetFormatPr defaultColWidth="8.66666666666667" defaultRowHeight="14"/>
  <cols>
    <col min="1" max="3" width="8.66666666666667" style="1"/>
    <col min="4" max="5" width="10.0833333333333" style="1" customWidth="1"/>
    <col min="6" max="16384" width="8.66666666666667" style="1"/>
  </cols>
  <sheetData>
    <row r="21" spans="11:11">
      <c r="K21" s="1" t="s">
        <v>403</v>
      </c>
    </row>
    <row r="22" spans="11:11">
      <c r="K22" s="1" t="s">
        <v>404</v>
      </c>
    </row>
    <row r="54" spans="5:5">
      <c r="E54" s="1" t="s">
        <v>405</v>
      </c>
    </row>
    <row r="55" spans="5:5">
      <c r="E55" s="1" t="s">
        <v>406</v>
      </c>
    </row>
    <row r="56" spans="5:5">
      <c r="E56" s="1" t="s">
        <v>407</v>
      </c>
    </row>
    <row r="57" spans="5:5">
      <c r="E57" s="1" t="s">
        <v>408</v>
      </c>
    </row>
    <row r="58" spans="5:5">
      <c r="E58" s="1" t="s">
        <v>409</v>
      </c>
    </row>
    <row r="59" spans="5:5">
      <c r="E59" s="1" t="s">
        <v>410</v>
      </c>
    </row>
    <row r="60" spans="5:5">
      <c r="E60" s="1" t="s">
        <v>411</v>
      </c>
    </row>
    <row r="61" spans="5:5">
      <c r="E61" s="1" t="s">
        <v>412</v>
      </c>
    </row>
    <row r="62" spans="5:5">
      <c r="E62" s="1" t="s">
        <v>413</v>
      </c>
    </row>
    <row r="63" spans="5:5">
      <c r="E63" s="1" t="s">
        <v>414</v>
      </c>
    </row>
    <row r="64" spans="5:5">
      <c r="E64" s="1" t="s">
        <v>415</v>
      </c>
    </row>
    <row r="65" spans="5:5">
      <c r="E65" s="1" t="s">
        <v>416</v>
      </c>
    </row>
    <row r="66" spans="5:5">
      <c r="E66" s="1" t="s">
        <v>417</v>
      </c>
    </row>
    <row r="67" spans="5:5">
      <c r="E67" s="1" t="s">
        <v>418</v>
      </c>
    </row>
    <row r="68" spans="5:5">
      <c r="E68" s="1" t="s">
        <v>419</v>
      </c>
    </row>
    <row r="69" spans="5:5">
      <c r="E69" s="1" t="s">
        <v>420</v>
      </c>
    </row>
    <row r="70" spans="5:5">
      <c r="E70" s="1" t="s">
        <v>421</v>
      </c>
    </row>
    <row r="71" spans="5:5">
      <c r="E71" s="1" t="s">
        <v>422</v>
      </c>
    </row>
    <row r="72" spans="5:5">
      <c r="E72" s="1" t="s">
        <v>423</v>
      </c>
    </row>
    <row r="73" spans="5:5">
      <c r="E73" s="1" t="s">
        <v>424</v>
      </c>
    </row>
    <row r="74" spans="5:5">
      <c r="E74" s="1" t="s">
        <v>425</v>
      </c>
    </row>
    <row r="75" spans="5:5">
      <c r="E75" s="1" t="s">
        <v>426</v>
      </c>
    </row>
    <row r="76" spans="5:5">
      <c r="E76" s="1" t="s">
        <v>427</v>
      </c>
    </row>
    <row r="77" spans="5:5">
      <c r="E77" s="1" t="s">
        <v>428</v>
      </c>
    </row>
    <row r="78" spans="5:5">
      <c r="E78" s="1" t="s">
        <v>429</v>
      </c>
    </row>
    <row r="79" spans="5:5">
      <c r="E79" s="1" t="s">
        <v>430</v>
      </c>
    </row>
    <row r="80" spans="5:5">
      <c r="E80" s="1" t="s">
        <v>431</v>
      </c>
    </row>
    <row r="81" spans="5:5">
      <c r="E81" s="1" t="s">
        <v>432</v>
      </c>
    </row>
    <row r="82" spans="5:5">
      <c r="E82" s="1" t="s">
        <v>433</v>
      </c>
    </row>
    <row r="83" spans="5:5">
      <c r="E83" s="1" t="s">
        <v>434</v>
      </c>
    </row>
    <row r="84" spans="5:5">
      <c r="E84" s="1" t="s">
        <v>435</v>
      </c>
    </row>
    <row r="85" spans="5:5">
      <c r="E85" s="1" t="s">
        <v>436</v>
      </c>
    </row>
    <row r="86" spans="5:5">
      <c r="E86" s="1" t="s">
        <v>437</v>
      </c>
    </row>
    <row r="87" spans="5:5">
      <c r="E87" s="1" t="s">
        <v>438</v>
      </c>
    </row>
    <row r="88" spans="5:5">
      <c r="E88" s="1" t="s">
        <v>439</v>
      </c>
    </row>
    <row r="89" spans="5:5">
      <c r="E89" s="1" t="s">
        <v>440</v>
      </c>
    </row>
  </sheetData>
  <sortState ref="E1:E130">
    <sortCondition ref="E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每日必读</vt:lpstr>
      <vt:lpstr>收益表</vt:lpstr>
      <vt:lpstr>二板补涨缩量战法</vt:lpstr>
      <vt:lpstr>二板补涨放量战法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Mingxue Li</dc:creator>
  <cp:lastModifiedBy>李明学</cp:lastModifiedBy>
  <dcterms:created xsi:type="dcterms:W3CDTF">2015-06-05T18:17:00Z</dcterms:created>
  <dcterms:modified xsi:type="dcterms:W3CDTF">2025-07-06T06:24:35Z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BA5DD32944944C1388A1F2482D59DFD2_12</vt:lpwstr>
  </property>
  <property fmtid="{D5CDD505-2E9C-101B-9397-08002B2CF9AE}" pid="4" name="KSOReadingLayout">
    <vt:bool>false</vt:bool>
  </property>
</Properties>
</file>